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ne Time Cost" sheetId="1" r:id="rId1"/>
    <sheet name="Cost Explanation" sheetId="2" r:id="rId2"/>
    <sheet name="Tangible Benefits" sheetId="3" r:id="rId3"/>
    <sheet name="Company Inventory" sheetId="4" r:id="rId4"/>
    <sheet name="Input Details" sheetId="5" r:id="rId5"/>
  </sheets>
  <definedNames>
    <definedName name="_xlnm.Print_Area" localSheetId="3">'Company Inventory'!$A$1:$I$40</definedName>
    <definedName name="_xlnm.Print_Area" localSheetId="1">'Cost Explanation'!$A$1:$O$28</definedName>
    <definedName name="_xlnm.Print_Area" localSheetId="4">'Input Details'!$A$1:$E$13</definedName>
    <definedName name="_xlnm.Print_Area" localSheetId="0">'One Time Cost'!$A$1:$R$57</definedName>
    <definedName name="_xlnm.Print_Area" localSheetId="2">'Tangible Benefits'!$A$1:$W$45</definedName>
  </definedNames>
  <calcPr calcId="124519" fullCalcOnLoad="1"/>
</workbook>
</file>

<file path=xl/comments1.xml><?xml version="1.0" encoding="utf-8"?>
<comments xmlns="http://schemas.openxmlformats.org/spreadsheetml/2006/main">
  <authors>
    <author/>
  </authors>
  <commentList>
    <comment ref="D15"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E15"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D17"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E17"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D19"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E19"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D20"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E20"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D29"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D30"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J36"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J38"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J40"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D43"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D45"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D46"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List>
</comments>
</file>

<file path=xl/comments2.xml><?xml version="1.0" encoding="utf-8"?>
<comments xmlns="http://schemas.openxmlformats.org/spreadsheetml/2006/main">
  <authors>
    <author/>
  </authors>
  <commentList>
    <comment ref="D12"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F12"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L12"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N12"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D13"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F13"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L13"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N13"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D14"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F14"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L14"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N14"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D15"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F15"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L15"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N15"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D16"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F16"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L16"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N16"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D17"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F17"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L17"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N17"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D18"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F18"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E28"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M28"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E29"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M29"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E30"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M30"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List>
</comments>
</file>

<file path=xl/comments3.xml><?xml version="1.0" encoding="utf-8"?>
<comments xmlns="http://schemas.openxmlformats.org/spreadsheetml/2006/main">
  <authors>
    <author/>
  </authors>
  <commentList>
    <comment ref="C7"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C8"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C9"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 ref="C10" authorId="0">
      <text>
        <r>
          <rPr>
            <sz val="8"/>
            <color indexed="81"/>
            <rFont val="Tahoma"/>
            <family val="2"/>
          </rPr>
          <t>Editable input. Unknown company value: left blank by request. Enter a documented value; enter zero only when verified. No application demo data or academic example amount belongs here.</t>
        </r>
      </text>
    </comment>
  </commentList>
</comments>
</file>

<file path=xl/sharedStrings.xml><?xml version="1.0" encoding="utf-8"?>
<sst xmlns="http://schemas.openxmlformats.org/spreadsheetml/2006/main" count="176" uniqueCount="118">
  <si>
    <t>UNIT 2: Systems Planning</t>
  </si>
  <si>
    <t>IT303: SYSTEMS ANALYSIS AND DESIGN</t>
  </si>
  <si>
    <t>1</t>
  </si>
  <si>
    <t>BREAKDOWN OF ONE TIME COST WORKSHEET</t>
  </si>
  <si>
    <t>Assuming that the project development duration is ______ MONTHS</t>
  </si>
  <si>
    <t>A. Development Cost</t>
  </si>
  <si>
    <t>Description</t>
  </si>
  <si>
    <t>Salary/Month</t>
  </si>
  <si>
    <t>Mo.</t>
  </si>
  <si>
    <t>Sub_Total</t>
  </si>
  <si>
    <t>System Analyst</t>
  </si>
  <si>
    <t>Programmer</t>
  </si>
  <si>
    <t>Encoder</t>
  </si>
  <si>
    <t>Researcher</t>
  </si>
  <si>
    <t>TOTAL</t>
  </si>
  <si>
    <t>B. User Training</t>
  </si>
  <si>
    <t>Honoraria/day</t>
  </si>
  <si>
    <t>User Training</t>
  </si>
  <si>
    <t>Training Kit</t>
  </si>
  <si>
    <t>C. ADDITIONAL HARDWARE/SOFTWARE</t>
  </si>
  <si>
    <t>Unit Cost</t>
  </si>
  <si>
    <t>Database Server</t>
  </si>
  <si>
    <t>External Drive</t>
  </si>
  <si>
    <t>Licensed Software /
Vendor Platform</t>
  </si>
  <si>
    <t>Total One Time Cost = Total Development Cost + Total
User Training + Total Additional Hardware/Software</t>
  </si>
  <si>
    <t>C. Additional
    Hardware/Software</t>
  </si>
  <si>
    <t>TOTAL ONE TIME COST</t>
  </si>
  <si>
    <t>RECURRING COST</t>
  </si>
  <si>
    <t>Annually</t>
  </si>
  <si>
    <t>Software Maintenance</t>
  </si>
  <si>
    <t>Incremental Communication</t>
  </si>
  <si>
    <t>Software License Renewal</t>
  </si>
  <si>
    <t>Financial amounts and development duration are blank because the green company inventory table does not supply them. Monthly maintenance/communication and annual renewal are worksheet billing units, not purchased services.</t>
  </si>
  <si>
    <t>2</t>
  </si>
  <si>
    <t>This table follows the Breakdown of One Time Cost Worksheet in the supplied academic reference. The total one-time cost of PHP __________ will serve as the initial investment, and the annual recurring cost of PHP __________ will represent additional system expenses. These amounts are left blank because company financial data has not been supplied.</t>
  </si>
  <si>
    <t>The green company monitoring table records 758 units across 26 equipment categories. It identifies 19 round shovels, 75 GI pipes and 369 swivel clamps under “Missing or No Report,” totaling 463 units. These are reconciliation gaps; the table does not establish confirmed financial losses.</t>
  </si>
  <si>
    <t>•  Benefit</t>
  </si>
  <si>
    <t>3</t>
  </si>
  <si>
    <t>Breakdown of Tangible Benefit Worksheet</t>
  </si>
  <si>
    <t>A. SUPPLIES COST</t>
  </si>
  <si>
    <t>EXISTING SYSTEM</t>
  </si>
  <si>
    <t>Qty</t>
  </si>
  <si>
    <t>Price/Qty</t>
  </si>
  <si>
    <t>Folders</t>
  </si>
  <si>
    <t>Ballpen</t>
  </si>
  <si>
    <t>Bond Papers</t>
  </si>
  <si>
    <t>Carbon Papers</t>
  </si>
  <si>
    <t>Record Book</t>
  </si>
  <si>
    <t>Vouchers</t>
  </si>
  <si>
    <t>Ink</t>
  </si>
  <si>
    <t>PROPOSED SYSTEM</t>
  </si>
  <si>
    <t>USB</t>
  </si>
  <si>
    <t>Supplies Cost Reduction = Total Supplies of the Existing System − Total Supplies of the Proposed System</t>
  </si>
  <si>
    <t>Supplies Cost Reduction</t>
  </si>
  <si>
    <t>B. LABOR COST</t>
  </si>
  <si>
    <t>Personnel</t>
  </si>
  <si>
    <t>Salary/
Month</t>
  </si>
  <si>
    <t>Annual</t>
  </si>
  <si>
    <t>Inventory personnel</t>
  </si>
  <si>
    <t>Reporting personnel</t>
  </si>
  <si>
    <t>Accountability personnel</t>
  </si>
  <si>
    <t>Labor Cost Reduction = Labor Cost of the Existing System − Labor Cost of the Proposed System</t>
  </si>
  <si>
    <t>Labor Cost Reduction</t>
  </si>
  <si>
    <t>Total Cost Reduction = Labor Cost Reduction + Supplies Cost Reduction</t>
  </si>
  <si>
    <t>Total Cost Reduction</t>
  </si>
  <si>
    <t>This table follows the Breakdown of Tangible Benefit Worksheet in the supplied reference. Annual supplies cost reduction and labor cost reduction remain blank because the green company inventory table provides no supplies spending, salaries or staffing figures. A reduction in employee headcount or payroll has not been assumed.</t>
  </si>
  <si>
    <t>The 463 units shown as missing or without reports identify an equipment reconciliation concern. Their monetary value and any equipment-related savings remain blank because replacement prices and confirmed loss or recovery records were not supplied.</t>
  </si>
  <si>
    <t>HAND TOOLS AND OTHERS MONITORING</t>
  </si>
  <si>
    <t>ITEM
NO.</t>
  </si>
  <si>
    <t>POWER TOOLS</t>
  </si>
  <si>
    <t>QTY.</t>
  </si>
  <si>
    <t>NEED TO COMPLY</t>
  </si>
  <si>
    <t>MISSING OR
NO REPORT</t>
  </si>
  <si>
    <t>SHOVEL (PALA, LAPAD)</t>
  </si>
  <si>
    <t>SHOVEL (PALA, BILOG)</t>
  </si>
  <si>
    <t>BARETA</t>
  </si>
  <si>
    <t>ITAK</t>
  </si>
  <si>
    <t>PIKO</t>
  </si>
  <si>
    <t>PLASTIC DRUM 200L</t>
  </si>
  <si>
    <t>IBC WATER TANK 1000L</t>
  </si>
  <si>
    <t>WHEEL BARROW</t>
  </si>
  <si>
    <t>OXYGEN TANK</t>
  </si>
  <si>
    <t>GAS TANK</t>
  </si>
  <si>
    <t>ELECTRIC KETTLE</t>
  </si>
  <si>
    <t>EXTENSION</t>
  </si>
  <si>
    <t>DOUBLE BURNER STOVE</t>
  </si>
  <si>
    <t>LABABO</t>
  </si>
  <si>
    <t>MASO</t>
  </si>
  <si>
    <t>GARDEN HOSE</t>
  </si>
  <si>
    <t>GI PIPES</t>
  </si>
  <si>
    <t>BASE JACK</t>
  </si>
  <si>
    <t>U-JACK</t>
  </si>
  <si>
    <t>BUCKETS</t>
  </si>
  <si>
    <t>CATWALK FLATFORM SCAFFOLDING</t>
  </si>
  <si>
    <t>H-FRAME SCAFFOLDING</t>
  </si>
  <si>
    <t>BRACES SCAFFOLDING</t>
  </si>
  <si>
    <t>WATER-PUMP</t>
  </si>
  <si>
    <t>GARDEN SPRINKLER</t>
  </si>
  <si>
    <t>SWIVEL CLAMP</t>
  </si>
  <si>
    <t>SOURCE CHECK: 26 populated categories; 758 recorded units; 463 missing or unreported units.</t>
  </si>
  <si>
    <t>Blank cells are retained as blanks. Only three categories have supplied requirements and reported gaps. The 463 units are not automatically confirmed physical losses. “CATWALK FLATFORM SCAFFOLDING” preserves the spelling in the green source image.</t>
  </si>
  <si>
    <t>Source: user-supplied green “HAND TOOLS AND OTHERS MONITORING” image. Application records are demonstration data and are excluded.</t>
  </si>
  <si>
    <t>COMPANY DATA SOURCE: GREEN INVENTORY TABLE ONLY</t>
  </si>
  <si>
    <t>4</t>
  </si>
  <si>
    <t>SUPPORTING INPUTS — LEAVE UNKNOWN VALUES BLANK</t>
  </si>
  <si>
    <t>These inputs complete quantities omitted from the reference layout. They are not supplied by the green company inventory table. No value or development duration is assumed.</t>
  </si>
  <si>
    <t>Input</t>
  </si>
  <si>
    <t>Value</t>
  </si>
  <si>
    <t>Unit / purpose</t>
  </si>
  <si>
    <t>Training delivery duration</t>
  </si>
  <si>
    <t>days</t>
  </si>
  <si>
    <t>Database server quantity</t>
  </si>
  <si>
    <t>items / services</t>
  </si>
  <si>
    <t>External drive quantity</t>
  </si>
  <si>
    <t>items</t>
  </si>
  <si>
    <t>Software / vendor platform quantity</t>
  </si>
  <si>
    <t>licenses / packages</t>
  </si>
  <si>
    <t>Financial inputs on all sheets are intentionally blank. For labor, enter the combined monthly cost for the personnel group shown, rather than assuming any employee count. Annualization uses 12 months as a unit conversion. Time saved does not automatically reduce payroll.</t>
  </si>
</sst>
</file>

<file path=xl/styles.xml><?xml version="1.0" encoding="utf-8"?>
<styleSheet xmlns="http://schemas.openxmlformats.org/spreadsheetml/2006/main">
  <numFmts count="1">
    <numFmt numFmtId="164" formatCode="#,##0.00;[Red](#,##0.00);0.00"/>
  </numFmts>
  <fonts count="28">
    <font>
      <sz val="11"/>
      <color theme="1"/>
      <name val="Calibri"/>
      <family val="2"/>
      <scheme val="minor"/>
    </font>
    <font>
      <b/>
      <sz val="10"/>
      <color rgb="FFFFFFFF"/>
      <name val="Arial Narrow"/>
      <family val="2"/>
    </font>
    <font>
      <b/>
      <sz val="12"/>
      <color rgb="FF000000"/>
      <name val="Arial Narrow"/>
      <family val="2"/>
    </font>
    <font>
      <sz val="10.5"/>
      <color rgb="FF000000"/>
      <name val="Arial Narrow"/>
      <family val="2"/>
    </font>
    <font>
      <sz val="11"/>
      <color rgb="FF000000"/>
      <name val="Arial Narrow"/>
      <family val="2"/>
    </font>
    <font>
      <b/>
      <sz val="10.5"/>
      <color rgb="FF000000"/>
      <name val="Arial Narrow"/>
      <family val="2"/>
    </font>
    <font>
      <b/>
      <sz val="8.7"/>
      <color rgb="FF000000"/>
      <name val="Arial Narrow"/>
      <family val="2"/>
    </font>
    <font>
      <sz val="9.3"/>
      <color rgb="FF000000"/>
      <name val="Arial Narrow"/>
      <family val="2"/>
    </font>
    <font>
      <sz val="9"/>
      <color rgb="FF000000"/>
      <name val="Arial Narrow"/>
      <family val="2"/>
    </font>
    <font>
      <b/>
      <sz val="9.3"/>
      <color rgb="FF000000"/>
      <name val="Arial Narrow"/>
      <family val="2"/>
    </font>
    <font>
      <b/>
      <sz val="9"/>
      <color rgb="FF000000"/>
      <name val="Arial Narrow"/>
      <family val="2"/>
    </font>
    <font>
      <sz val="9.2"/>
      <color rgb="FF000000"/>
      <name val="Arial Narrow"/>
      <family val="2"/>
    </font>
    <font>
      <b/>
      <sz val="8.9"/>
      <color rgb="FF000000"/>
      <name val="Arial Narrow"/>
      <family val="2"/>
    </font>
    <font>
      <b/>
      <sz val="11"/>
      <color rgb="FF000000"/>
      <name val="Arial Narrow"/>
      <family val="2"/>
    </font>
    <font>
      <sz val="8.8"/>
      <color rgb="FF000000"/>
      <name val="Arial Narrow"/>
      <family val="2"/>
    </font>
    <font>
      <sz val="9.5"/>
      <color rgb="FF000000"/>
      <name val="Arial Narrow"/>
      <family val="2"/>
    </font>
    <font>
      <sz val="8.5"/>
      <color rgb="FF000000"/>
      <name val="Arial Narrow"/>
      <family val="2"/>
    </font>
    <font>
      <sz val="10"/>
      <color rgb="FF000000"/>
      <name val="Arial Narrow"/>
      <family val="2"/>
    </font>
    <font>
      <b/>
      <sz val="14"/>
      <color rgb="FF000000"/>
      <name val="Arial Narrow"/>
      <family val="2"/>
    </font>
    <font>
      <b/>
      <sz val="10"/>
      <color rgb="FF000000"/>
      <name val="Arial Narrow"/>
      <family val="2"/>
    </font>
    <font>
      <b/>
      <sz val="9.4"/>
      <color rgb="FF000000"/>
      <name val="Arial Narrow"/>
      <family val="2"/>
    </font>
    <font>
      <b/>
      <sz val="8.8"/>
      <color rgb="FF000000"/>
      <name val="Arial Narrow"/>
      <family val="2"/>
    </font>
    <font>
      <sz val="8.6"/>
      <color rgb="FF000000"/>
      <name val="Arial Narrow"/>
      <family val="2"/>
    </font>
    <font>
      <b/>
      <sz val="15"/>
      <color rgb="FF000000"/>
      <name val="Arial Narrow"/>
      <family val="2"/>
    </font>
    <font>
      <b/>
      <sz val="9.5"/>
      <color rgb="FF000000"/>
      <name val="Arial Narrow"/>
      <family val="2"/>
    </font>
    <font>
      <sz val="9.1"/>
      <color rgb="FF000000"/>
      <name val="Arial Narrow"/>
      <family val="2"/>
    </font>
    <font>
      <b/>
      <sz val="13"/>
      <color rgb="FF000000"/>
      <name val="Arial Narrow"/>
      <family val="2"/>
    </font>
    <font>
      <sz val="8"/>
      <color indexed="81"/>
      <name val="Tahoma"/>
      <family val="2"/>
    </font>
  </fonts>
  <fills count="8">
    <fill>
      <patternFill patternType="none"/>
    </fill>
    <fill>
      <patternFill patternType="gray125"/>
    </fill>
    <fill>
      <patternFill patternType="solid">
        <fgColor rgb="FF6A1839"/>
        <bgColor indexed="64"/>
      </patternFill>
    </fill>
    <fill>
      <patternFill patternType="solid">
        <fgColor rgb="FFEFEFEF"/>
        <bgColor indexed="64"/>
      </patternFill>
    </fill>
    <fill>
      <patternFill patternType="solid">
        <fgColor rgb="FFD9E6F3"/>
        <bgColor indexed="64"/>
      </patternFill>
    </fill>
    <fill>
      <patternFill patternType="solid">
        <fgColor rgb="FF98C37F"/>
        <bgColor indexed="64"/>
      </patternFill>
    </fill>
    <fill>
      <patternFill patternType="solid">
        <fgColor rgb="FFB5D6A4"/>
        <bgColor indexed="64"/>
      </patternFill>
    </fill>
    <fill>
      <patternFill patternType="solid">
        <fgColor rgb="FFFFFFFF"/>
        <bgColor indexed="64"/>
      </patternFill>
    </fill>
  </fills>
  <borders count="13">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thin">
        <color rgb="FF000000"/>
      </left>
      <right style="thin">
        <color rgb="FF000000"/>
      </right>
      <top style="thin">
        <color rgb="FF000000"/>
      </top>
      <bottom style="thin">
        <color rgb="FF000000"/>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s>
  <cellStyleXfs count="1">
    <xf numFmtId="0" fontId="0" fillId="0" borderId="0"/>
  </cellStyleXfs>
  <cellXfs count="56">
    <xf numFmtId="0" fontId="0" fillId="0" borderId="0" xfId="0"/>
    <xf numFmtId="0" fontId="1" fillId="2" borderId="0" xfId="0" applyFont="1" applyFill="1" applyAlignment="1">
      <alignment horizontal="left" vertical="top" wrapText="1"/>
    </xf>
    <xf numFmtId="0" fontId="0" fillId="0" borderId="1" xfId="0" applyBorder="1"/>
    <xf numFmtId="0" fontId="0" fillId="0" borderId="2" xfId="0" applyBorder="1"/>
    <xf numFmtId="0" fontId="0" fillId="0" borderId="3" xfId="0" applyBorder="1"/>
    <xf numFmtId="0" fontId="0" fillId="0" borderId="4" xfId="0" applyBorder="1"/>
    <xf numFmtId="0" fontId="2" fillId="0" borderId="0" xfId="0" applyFont="1" applyAlignment="1">
      <alignment horizontal="center" vertical="top" wrapText="1"/>
    </xf>
    <xf numFmtId="0" fontId="0" fillId="0" borderId="5" xfId="0" applyBorder="1"/>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center" vertical="top" wrapText="1"/>
    </xf>
    <xf numFmtId="0" fontId="6" fillId="3" borderId="6" xfId="0" applyFont="1" applyFill="1" applyBorder="1" applyAlignment="1">
      <alignment horizontal="left" vertical="center" wrapText="1"/>
    </xf>
    <xf numFmtId="0" fontId="7" fillId="0" borderId="6" xfId="0" applyFont="1" applyBorder="1" applyAlignment="1">
      <alignment horizontal="left" vertical="center" wrapText="1"/>
    </xf>
    <xf numFmtId="164" fontId="7" fillId="0" borderId="6" xfId="0" applyNumberFormat="1" applyFont="1" applyBorder="1" applyAlignment="1">
      <alignment horizontal="right" vertical="center" wrapText="1"/>
    </xf>
    <xf numFmtId="0" fontId="8" fillId="0" borderId="6" xfId="0" applyFont="1" applyBorder="1" applyAlignment="1">
      <alignment horizontal="left" vertical="center" wrapText="1"/>
    </xf>
    <xf numFmtId="164" fontId="8" fillId="0" borderId="6" xfId="0" applyNumberFormat="1" applyFont="1" applyBorder="1" applyAlignment="1">
      <alignment horizontal="right" vertical="center" wrapText="1"/>
    </xf>
    <xf numFmtId="0" fontId="8" fillId="0" borderId="6" xfId="0" applyFont="1" applyBorder="1" applyAlignment="1">
      <alignment horizontal="center" vertical="center" wrapText="1"/>
    </xf>
    <xf numFmtId="0" fontId="9" fillId="0" borderId="6" xfId="0" applyFont="1" applyBorder="1" applyAlignment="1">
      <alignment horizontal="left" vertical="center" wrapText="1"/>
    </xf>
    <xf numFmtId="164" fontId="9" fillId="0" borderId="6" xfId="0" applyNumberFormat="1" applyFont="1" applyBorder="1" applyAlignment="1">
      <alignment horizontal="right" vertical="center" wrapText="1"/>
    </xf>
    <xf numFmtId="0" fontId="10" fillId="0" borderId="6" xfId="0" applyFont="1" applyBorder="1" applyAlignment="1">
      <alignment horizontal="left" vertical="center" wrapText="1"/>
    </xf>
    <xf numFmtId="164" fontId="10" fillId="0" borderId="6" xfId="0" applyNumberFormat="1" applyFont="1" applyBorder="1" applyAlignment="1">
      <alignment horizontal="right" vertical="center" wrapText="1"/>
    </xf>
    <xf numFmtId="0" fontId="11" fillId="0" borderId="6" xfId="0" applyFont="1" applyBorder="1" applyAlignment="1">
      <alignment horizontal="left" vertical="center" wrapText="1"/>
    </xf>
    <xf numFmtId="0" fontId="12" fillId="3" borderId="6" xfId="0" applyFont="1" applyFill="1" applyBorder="1" applyAlignment="1">
      <alignment horizontal="left" vertical="center" wrapText="1"/>
    </xf>
    <xf numFmtId="0" fontId="13" fillId="0" borderId="0" xfId="0" applyFont="1" applyAlignment="1">
      <alignment horizontal="left" vertical="top" wrapText="1"/>
    </xf>
    <xf numFmtId="0" fontId="10" fillId="3" borderId="6" xfId="0" applyFont="1" applyFill="1" applyBorder="1" applyAlignment="1">
      <alignment horizontal="left" vertical="center" wrapText="1"/>
    </xf>
    <xf numFmtId="0" fontId="14" fillId="0" borderId="6" xfId="0" applyFont="1" applyBorder="1" applyAlignment="1">
      <alignment horizontal="left" vertical="center" wrapText="1"/>
    </xf>
    <xf numFmtId="164" fontId="14" fillId="0" borderId="6" xfId="0" applyNumberFormat="1" applyFont="1" applyBorder="1" applyAlignment="1">
      <alignment horizontal="right" vertical="center" wrapText="1"/>
    </xf>
    <xf numFmtId="0" fontId="15" fillId="0" borderId="6" xfId="0" applyFont="1" applyBorder="1" applyAlignment="1">
      <alignment horizontal="left" vertical="center" wrapText="1"/>
    </xf>
    <xf numFmtId="0" fontId="0" fillId="0" borderId="7" xfId="0" applyBorder="1"/>
    <xf numFmtId="0" fontId="0" fillId="0" borderId="8" xfId="0" applyBorder="1"/>
    <xf numFmtId="0" fontId="0" fillId="0" borderId="9" xfId="0" applyBorder="1"/>
    <xf numFmtId="0" fontId="15" fillId="0" borderId="0" xfId="0" applyFont="1" applyAlignment="1">
      <alignment horizontal="left" vertical="top" wrapText="1"/>
    </xf>
    <xf numFmtId="0" fontId="16" fillId="0" borderId="0" xfId="0" applyFont="1" applyAlignment="1">
      <alignment horizontal="left" vertical="top" wrapText="1"/>
    </xf>
    <xf numFmtId="0" fontId="17" fillId="0" borderId="0" xfId="0" applyFont="1" applyAlignment="1">
      <alignment horizontal="right" vertical="top" wrapText="1"/>
    </xf>
    <xf numFmtId="0" fontId="0" fillId="0" borderId="10" xfId="0" applyBorder="1"/>
    <xf numFmtId="0" fontId="0" fillId="0" borderId="11" xfId="0" applyBorder="1"/>
    <xf numFmtId="0" fontId="0" fillId="0" borderId="12" xfId="0" applyBorder="1"/>
    <xf numFmtId="0" fontId="18" fillId="0" borderId="0" xfId="0" applyFont="1" applyAlignment="1">
      <alignment horizontal="left" vertical="top" wrapText="1"/>
    </xf>
    <xf numFmtId="0" fontId="19" fillId="0" borderId="0" xfId="0" applyFont="1" applyAlignment="1">
      <alignment horizontal="left" vertical="top" wrapText="1"/>
    </xf>
    <xf numFmtId="0" fontId="20" fillId="3" borderId="6" xfId="0" applyFont="1" applyFill="1" applyBorder="1" applyAlignment="1">
      <alignment horizontal="center" vertical="center" wrapText="1"/>
    </xf>
    <xf numFmtId="0" fontId="21" fillId="3" borderId="6" xfId="0" applyFont="1" applyFill="1" applyBorder="1" applyAlignment="1">
      <alignment horizontal="left" vertical="center" wrapText="1"/>
    </xf>
    <xf numFmtId="0" fontId="14" fillId="0" borderId="6" xfId="0" applyFont="1" applyBorder="1" applyAlignment="1">
      <alignment horizontal="center" vertical="center" wrapText="1"/>
    </xf>
    <xf numFmtId="0" fontId="21" fillId="0" borderId="6" xfId="0" applyFont="1" applyBorder="1" applyAlignment="1">
      <alignment horizontal="left" vertical="center" wrapText="1"/>
    </xf>
    <xf numFmtId="164" fontId="21" fillId="0" borderId="6" xfId="0" applyNumberFormat="1" applyFont="1" applyBorder="1" applyAlignment="1">
      <alignment horizontal="right" vertical="center" wrapText="1"/>
    </xf>
    <xf numFmtId="0" fontId="21" fillId="0" borderId="0" xfId="0" applyFont="1" applyAlignment="1">
      <alignment horizontal="left" vertical="top" wrapText="1"/>
    </xf>
    <xf numFmtId="0" fontId="9" fillId="4" borderId="0" xfId="0" applyFont="1" applyFill="1" applyAlignment="1">
      <alignment horizontal="left" vertical="top" wrapText="1"/>
    </xf>
    <xf numFmtId="164" fontId="9" fillId="4" borderId="0" xfId="0" applyNumberFormat="1" applyFont="1" applyFill="1" applyAlignment="1">
      <alignment horizontal="right" vertical="top" wrapText="1"/>
    </xf>
    <xf numFmtId="0" fontId="9" fillId="3" borderId="6" xfId="0" applyFont="1" applyFill="1" applyBorder="1" applyAlignment="1">
      <alignment horizontal="center" vertical="center" wrapText="1"/>
    </xf>
    <xf numFmtId="0" fontId="22" fillId="0" borderId="6" xfId="0" applyFont="1" applyBorder="1" applyAlignment="1">
      <alignment horizontal="left" vertical="center" wrapText="1"/>
    </xf>
    <xf numFmtId="164" fontId="22" fillId="0" borderId="6" xfId="0" applyNumberFormat="1" applyFont="1" applyBorder="1" applyAlignment="1">
      <alignment horizontal="right" vertical="center" wrapText="1"/>
    </xf>
    <xf numFmtId="0" fontId="23" fillId="5" borderId="0" xfId="0" applyFont="1" applyFill="1" applyAlignment="1">
      <alignment horizontal="left" vertical="top" wrapText="1"/>
    </xf>
    <xf numFmtId="0" fontId="24" fillId="6" borderId="6" xfId="0" applyFont="1" applyFill="1" applyBorder="1" applyAlignment="1">
      <alignment horizontal="center" vertical="center" wrapText="1"/>
    </xf>
    <xf numFmtId="0" fontId="25" fillId="7" borderId="6" xfId="0" applyFont="1" applyFill="1" applyBorder="1" applyAlignment="1">
      <alignment horizontal="center" vertical="center" wrapText="1"/>
    </xf>
    <xf numFmtId="0" fontId="25" fillId="6" borderId="6" xfId="0" applyFont="1" applyFill="1" applyBorder="1" applyAlignment="1">
      <alignment horizontal="center" vertical="center" wrapText="1"/>
    </xf>
    <xf numFmtId="0" fontId="17" fillId="0" borderId="0" xfId="0" applyFont="1" applyAlignment="1">
      <alignment horizontal="left" vertical="top" wrapText="1"/>
    </xf>
    <xf numFmtId="0" fontId="26" fillId="0" borderId="0" xfId="0" applyFont="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sheetPr>
    <tabColor rgb="FF6A1839"/>
    <pageSetUpPr fitToPage="1"/>
  </sheetPr>
  <dimension ref="A1:Q57"/>
  <sheetViews>
    <sheetView showGridLines="0" tabSelected="1" zoomScale="90" zoomScaleNormal="90" workbookViewId="0"/>
  </sheetViews>
  <sheetFormatPr defaultRowHeight="15"/>
  <cols>
    <col min="1" max="1" width="8.42578125" customWidth="1"/>
    <col min="2" max="2" width="1.85546875" customWidth="1"/>
    <col min="3" max="3" width="19.85546875" customWidth="1"/>
    <col min="4" max="4" width="11.5703125" customWidth="1"/>
    <col min="5" max="5" width="1.7109375" customWidth="1"/>
    <col min="6" max="6" width="2.85546875" customWidth="1"/>
    <col min="7" max="7" width="6.7109375" customWidth="1"/>
    <col min="8" max="8" width="6.28515625" customWidth="1"/>
    <col min="9" max="9" width="22.28515625" customWidth="1"/>
    <col min="10" max="10" width="9.5703125" customWidth="1"/>
    <col min="11" max="11" width="1.28515625" customWidth="1"/>
    <col min="12" max="12" width="0.140625" customWidth="1"/>
    <col min="13" max="13" width="2.42578125" customWidth="1"/>
    <col min="14" max="14" width="1.5703125" customWidth="1"/>
    <col min="15" max="15" width="5.85546875" customWidth="1"/>
    <col min="16" max="16" width="0.140625" customWidth="1"/>
    <col min="17" max="17" width="2.28515625" customWidth="1"/>
    <col min="18" max="18" width="8.42578125" customWidth="1"/>
  </cols>
  <sheetData>
    <row r="1" spans="2:17" ht="44.25" customHeight="1"/>
    <row r="2" spans="2:17" ht="18" customHeight="1">
      <c r="B2" s="1" t="s">
        <v>0</v>
      </c>
      <c r="C2" s="1"/>
      <c r="D2" s="1"/>
      <c r="E2" s="1"/>
      <c r="F2" s="1"/>
      <c r="G2" s="1"/>
      <c r="H2" s="1"/>
      <c r="I2" s="1"/>
      <c r="J2" s="1"/>
      <c r="K2" s="1"/>
      <c r="L2" s="1"/>
      <c r="M2" s="1"/>
      <c r="N2" s="1"/>
      <c r="O2" s="1"/>
      <c r="P2" s="1"/>
      <c r="Q2" s="1"/>
    </row>
    <row r="3" spans="2:17" ht="20.25" customHeight="1"/>
    <row r="4" spans="2:17" ht="9" customHeight="1">
      <c r="B4" s="2"/>
      <c r="C4" s="3"/>
      <c r="D4" s="3"/>
      <c r="E4" s="3"/>
      <c r="F4" s="3"/>
      <c r="G4" s="3"/>
      <c r="H4" s="3"/>
      <c r="I4" s="3"/>
      <c r="J4" s="3"/>
      <c r="K4" s="3"/>
      <c r="L4" s="3"/>
      <c r="M4" s="3"/>
      <c r="N4" s="3"/>
      <c r="O4" s="3"/>
      <c r="P4" s="3"/>
      <c r="Q4" s="4"/>
    </row>
    <row r="5" spans="2:17" ht="18.75" customHeight="1">
      <c r="B5" s="5"/>
      <c r="C5" s="6" t="s">
        <v>3</v>
      </c>
      <c r="D5" s="6"/>
      <c r="E5" s="6"/>
      <c r="F5" s="6"/>
      <c r="G5" s="6"/>
      <c r="H5" s="6"/>
      <c r="I5" s="6"/>
      <c r="J5" s="6"/>
      <c r="K5" s="6"/>
      <c r="L5" s="6"/>
      <c r="M5" s="6"/>
      <c r="N5" s="6"/>
      <c r="O5" s="6"/>
      <c r="P5" s="6"/>
      <c r="Q5" s="7"/>
    </row>
    <row r="6" spans="2:17" ht="6.75" customHeight="1">
      <c r="B6" s="5"/>
      <c r="Q6" s="7"/>
    </row>
    <row r="7" spans="2:17" ht="20.25" customHeight="1">
      <c r="B7" s="5"/>
      <c r="C7" s="8" t="s">
        <v>4</v>
      </c>
      <c r="D7" s="8"/>
      <c r="E7" s="8"/>
      <c r="F7" s="8"/>
      <c r="G7" s="8"/>
      <c r="H7" s="8"/>
      <c r="I7" s="8"/>
      <c r="J7" s="8"/>
      <c r="K7" s="8"/>
      <c r="L7" s="8"/>
      <c r="M7" s="8"/>
      <c r="N7" s="8"/>
      <c r="O7" s="8"/>
      <c r="P7" s="8"/>
      <c r="Q7" s="7"/>
    </row>
    <row r="8" spans="2:17" ht="12.75" customHeight="1">
      <c r="B8" s="5"/>
      <c r="Q8" s="7"/>
    </row>
    <row r="9" spans="2:17" ht="0.75" customHeight="1">
      <c r="B9" s="5"/>
      <c r="C9" s="9" t="s">
        <v>5</v>
      </c>
      <c r="D9" s="9"/>
      <c r="E9" s="9"/>
      <c r="F9" s="9"/>
      <c r="G9" s="9"/>
      <c r="Q9" s="7"/>
    </row>
    <row r="10" spans="2:17" ht="18.75" customHeight="1">
      <c r="B10" s="5"/>
      <c r="C10" s="9"/>
      <c r="D10" s="9"/>
      <c r="E10" s="9"/>
      <c r="F10" s="9"/>
      <c r="G10" s="9"/>
      <c r="I10" s="10" t="s">
        <v>3</v>
      </c>
      <c r="J10" s="10"/>
      <c r="K10" s="10"/>
      <c r="L10" s="10"/>
      <c r="M10" s="10"/>
      <c r="N10" s="10"/>
      <c r="O10" s="10"/>
      <c r="P10" s="10"/>
      <c r="Q10" s="7"/>
    </row>
    <row r="11" spans="2:17" ht="8.25" customHeight="1">
      <c r="B11" s="5"/>
      <c r="I11" s="10"/>
      <c r="J11" s="10"/>
      <c r="K11" s="10"/>
      <c r="L11" s="10"/>
      <c r="M11" s="10"/>
      <c r="N11" s="10"/>
      <c r="O11" s="10"/>
      <c r="P11" s="10"/>
      <c r="Q11" s="7"/>
    </row>
    <row r="12" spans="2:17" ht="2.25" customHeight="1">
      <c r="B12" s="5"/>
      <c r="C12" s="11" t="s">
        <v>6</v>
      </c>
      <c r="D12" s="11" t="s">
        <v>7</v>
      </c>
      <c r="E12" s="11" t="s">
        <v>8</v>
      </c>
      <c r="F12" s="11"/>
      <c r="G12" s="11" t="s">
        <v>9</v>
      </c>
      <c r="I12" s="10"/>
      <c r="J12" s="10"/>
      <c r="K12" s="10"/>
      <c r="L12" s="10"/>
      <c r="M12" s="10"/>
      <c r="N12" s="10"/>
      <c r="O12" s="10"/>
      <c r="P12" s="10"/>
      <c r="Q12" s="7"/>
    </row>
    <row r="13" spans="2:17" ht="11.25" customHeight="1">
      <c r="B13" s="5"/>
      <c r="C13" s="11"/>
      <c r="D13" s="11"/>
      <c r="E13" s="11"/>
      <c r="F13" s="11"/>
      <c r="G13" s="11"/>
      <c r="Q13" s="7"/>
    </row>
    <row r="14" spans="2:17" ht="6" customHeight="1">
      <c r="B14" s="5"/>
      <c r="C14" s="11"/>
      <c r="D14" s="11"/>
      <c r="E14" s="11"/>
      <c r="F14" s="11"/>
      <c r="G14" s="11"/>
      <c r="I14" s="12" t="s">
        <v>5</v>
      </c>
      <c r="J14" s="12"/>
      <c r="K14" s="13">
        <f>IF(ISNUMBER('One Time Cost'!$G$22),'One Time Cost'!$G$22,"")</f>
        <v/>
      </c>
      <c r="L14" s="13"/>
      <c r="M14" s="13"/>
      <c r="N14" s="13"/>
      <c r="O14" s="13"/>
      <c r="P14" s="13"/>
      <c r="Q14" s="7"/>
    </row>
    <row r="15" spans="2:17" ht="12.75" customHeight="1">
      <c r="B15" s="5"/>
      <c r="C15" s="14" t="s">
        <v>10</v>
      </c>
      <c r="D15" s="15"/>
      <c r="E15" s="16"/>
      <c r="F15" s="16"/>
      <c r="G15" s="15">
        <f>IF(COUNT('One Time Cost'!$D$15,'One Time Cost'!$E$15)=2,'One Time Cost'!$D$15*'One Time Cost'!$E$15,"")</f>
        <v/>
      </c>
      <c r="I15" s="12"/>
      <c r="J15" s="12"/>
      <c r="K15" s="13"/>
      <c r="L15" s="13"/>
      <c r="M15" s="13"/>
      <c r="N15" s="13"/>
      <c r="O15" s="13"/>
      <c r="P15" s="13"/>
      <c r="Q15" s="7"/>
    </row>
    <row r="16" spans="2:17" ht="6" customHeight="1">
      <c r="B16" s="5"/>
      <c r="C16" s="14"/>
      <c r="D16" s="15"/>
      <c r="E16" s="16"/>
      <c r="F16" s="16"/>
      <c r="G16" s="15"/>
      <c r="I16" s="12" t="s">
        <v>15</v>
      </c>
      <c r="J16" s="12"/>
      <c r="K16" s="13">
        <f>IF(ISNUMBER('One Time Cost'!$F$32),'One Time Cost'!$F$32,"")</f>
        <v/>
      </c>
      <c r="L16" s="13"/>
      <c r="M16" s="13"/>
      <c r="N16" s="13"/>
      <c r="O16" s="13"/>
      <c r="P16" s="13"/>
      <c r="Q16" s="7"/>
    </row>
    <row r="17" spans="2:17" ht="12.75" customHeight="1">
      <c r="B17" s="5"/>
      <c r="C17" s="14" t="s">
        <v>11</v>
      </c>
      <c r="D17" s="15"/>
      <c r="E17" s="16"/>
      <c r="F17" s="16"/>
      <c r="G17" s="15">
        <f>IF(COUNT('One Time Cost'!$D$17,'One Time Cost'!$E$17)=2,'One Time Cost'!$D$17*'One Time Cost'!$E$17,"")</f>
        <v/>
      </c>
      <c r="I17" s="12"/>
      <c r="J17" s="12"/>
      <c r="K17" s="13"/>
      <c r="L17" s="13"/>
      <c r="M17" s="13"/>
      <c r="N17" s="13"/>
      <c r="O17" s="13"/>
      <c r="P17" s="13"/>
      <c r="Q17" s="7"/>
    </row>
    <row r="18" spans="2:17" ht="6" customHeight="1">
      <c r="B18" s="5"/>
      <c r="C18" s="14"/>
      <c r="D18" s="15"/>
      <c r="E18" s="16"/>
      <c r="F18" s="16"/>
      <c r="G18" s="15"/>
      <c r="I18" s="12" t="s">
        <v>25</v>
      </c>
      <c r="J18" s="12"/>
      <c r="K18" s="13">
        <f>IF(ISNUMBER('One Time Cost'!$F$47),'One Time Cost'!$F$47,"")</f>
        <v/>
      </c>
      <c r="L18" s="13"/>
      <c r="M18" s="13"/>
      <c r="N18" s="13"/>
      <c r="O18" s="13"/>
      <c r="P18" s="13"/>
      <c r="Q18" s="7"/>
    </row>
    <row r="19" spans="2:17" ht="18.75" customHeight="1">
      <c r="B19" s="5"/>
      <c r="C19" s="14" t="s">
        <v>12</v>
      </c>
      <c r="D19" s="15"/>
      <c r="E19" s="16"/>
      <c r="F19" s="16"/>
      <c r="G19" s="15">
        <f>IF(COUNT('One Time Cost'!$D$19,'One Time Cost'!$E$19)=2,'One Time Cost'!$D$19*'One Time Cost'!$E$19,"")</f>
        <v/>
      </c>
      <c r="I19" s="12"/>
      <c r="J19" s="12"/>
      <c r="K19" s="13"/>
      <c r="L19" s="13"/>
      <c r="M19" s="13"/>
      <c r="N19" s="13"/>
      <c r="O19" s="13"/>
      <c r="P19" s="13"/>
      <c r="Q19" s="7"/>
    </row>
    <row r="20" spans="2:17" ht="9" customHeight="1">
      <c r="B20" s="5"/>
      <c r="C20" s="14" t="s">
        <v>13</v>
      </c>
      <c r="D20" s="15"/>
      <c r="E20" s="16"/>
      <c r="F20" s="16"/>
      <c r="G20" s="15">
        <f>IF(COUNT('One Time Cost'!$D$20,'One Time Cost'!$E$20)=2,'One Time Cost'!$D$20*'One Time Cost'!$E$20,"")</f>
        <v/>
      </c>
      <c r="I20" s="12"/>
      <c r="J20" s="12"/>
      <c r="K20" s="13"/>
      <c r="L20" s="13"/>
      <c r="M20" s="13"/>
      <c r="N20" s="13"/>
      <c r="O20" s="13"/>
      <c r="P20" s="13"/>
      <c r="Q20" s="7"/>
    </row>
    <row r="21" spans="2:17" ht="9.75" customHeight="1">
      <c r="B21" s="5"/>
      <c r="C21" s="14"/>
      <c r="D21" s="15"/>
      <c r="E21" s="16"/>
      <c r="F21" s="16"/>
      <c r="G21" s="15"/>
      <c r="I21" s="17" t="s">
        <v>26</v>
      </c>
      <c r="J21" s="17"/>
      <c r="K21" s="18">
        <f>IF(COUNT('One Time Cost'!$G$22,'One Time Cost'!$F$32,'One Time Cost'!$F$47)=3,SUM('One Time Cost'!$G$22,'One Time Cost'!$F$32,'One Time Cost'!$F$47),"")</f>
        <v/>
      </c>
      <c r="L21" s="18"/>
      <c r="M21" s="18"/>
      <c r="N21" s="18"/>
      <c r="O21" s="18"/>
      <c r="P21" s="18"/>
      <c r="Q21" s="7"/>
    </row>
    <row r="22" spans="2:17" ht="11.25" customHeight="1">
      <c r="B22" s="5"/>
      <c r="C22" s="19" t="s">
        <v>14</v>
      </c>
      <c r="D22" s="19"/>
      <c r="E22" s="19"/>
      <c r="F22" s="19"/>
      <c r="G22" s="20">
        <f>IF(COUNT('One Time Cost'!$G$15,'One Time Cost'!$G$17,'One Time Cost'!$G$19,'One Time Cost'!$G$20)=4,SUM('One Time Cost'!$G$15,'One Time Cost'!$G$17,'One Time Cost'!$G$19,'One Time Cost'!$G$20),"")</f>
        <v/>
      </c>
      <c r="I22" s="17"/>
      <c r="J22" s="17"/>
      <c r="K22" s="18"/>
      <c r="L22" s="18"/>
      <c r="M22" s="18"/>
      <c r="N22" s="18"/>
      <c r="O22" s="18"/>
      <c r="P22" s="18"/>
      <c r="Q22" s="7"/>
    </row>
    <row r="23" spans="2:17" ht="9" customHeight="1">
      <c r="B23" s="5"/>
      <c r="C23" s="19"/>
      <c r="D23" s="19"/>
      <c r="E23" s="19"/>
      <c r="F23" s="19"/>
      <c r="G23" s="20"/>
      <c r="I23" s="21" t="s">
        <v>24</v>
      </c>
      <c r="J23" s="21"/>
      <c r="K23" s="21"/>
      <c r="L23" s="21"/>
      <c r="M23" s="21"/>
      <c r="N23" s="21"/>
      <c r="O23" s="21"/>
      <c r="P23" s="21"/>
      <c r="Q23" s="7"/>
    </row>
    <row r="24" spans="2:17" ht="18.75" customHeight="1">
      <c r="B24" s="5"/>
      <c r="I24" s="21"/>
      <c r="J24" s="21"/>
      <c r="K24" s="21"/>
      <c r="L24" s="21"/>
      <c r="M24" s="21"/>
      <c r="N24" s="21"/>
      <c r="O24" s="21"/>
      <c r="P24" s="21"/>
      <c r="Q24" s="7"/>
    </row>
    <row r="25" spans="2:17" ht="15.75" customHeight="1">
      <c r="B25" s="5"/>
      <c r="C25" s="9" t="s">
        <v>15</v>
      </c>
      <c r="D25" s="9"/>
      <c r="E25" s="9"/>
      <c r="F25" s="9"/>
      <c r="G25" s="9"/>
      <c r="I25" s="21"/>
      <c r="J25" s="21"/>
      <c r="K25" s="21"/>
      <c r="L25" s="21"/>
      <c r="M25" s="21"/>
      <c r="N25" s="21"/>
      <c r="O25" s="21"/>
      <c r="P25" s="21"/>
      <c r="Q25" s="7"/>
    </row>
    <row r="26" spans="2:17" ht="3.75" customHeight="1">
      <c r="B26" s="5"/>
      <c r="C26" s="9"/>
      <c r="D26" s="9"/>
      <c r="E26" s="9"/>
      <c r="F26" s="9"/>
      <c r="G26" s="9"/>
      <c r="Q26" s="7"/>
    </row>
    <row r="27" spans="2:17" ht="9" customHeight="1">
      <c r="B27" s="5"/>
      <c r="Q27" s="7"/>
    </row>
    <row r="28" spans="2:17" ht="18.75" customHeight="1">
      <c r="B28" s="5"/>
      <c r="C28" s="22" t="s">
        <v>6</v>
      </c>
      <c r="D28" s="22" t="s">
        <v>16</v>
      </c>
      <c r="E28" s="22"/>
      <c r="F28" s="22" t="s">
        <v>9</v>
      </c>
      <c r="G28" s="22"/>
      <c r="Q28" s="7"/>
    </row>
    <row r="29" spans="2:17" ht="18.75" customHeight="1">
      <c r="B29" s="5"/>
      <c r="C29" s="14" t="s">
        <v>17</v>
      </c>
      <c r="D29" s="15"/>
      <c r="E29" s="15"/>
      <c r="F29" s="15">
        <f>IF(COUNT('One Time Cost'!$D$29,'Input Details'!$C$7)=2,'One Time Cost'!$D$29*'Input Details'!$C$7,"")</f>
        <v/>
      </c>
      <c r="G29" s="15"/>
      <c r="Q29" s="7"/>
    </row>
    <row r="30" spans="2:17" ht="9.75" customHeight="1">
      <c r="B30" s="5"/>
      <c r="C30" s="14" t="s">
        <v>18</v>
      </c>
      <c r="D30" s="15"/>
      <c r="E30" s="15"/>
      <c r="F30" s="15">
        <f>IF(ISNUMBER('One Time Cost'!$D$30),'One Time Cost'!$D$30,"")</f>
        <v/>
      </c>
      <c r="G30" s="15"/>
      <c r="Q30" s="7"/>
    </row>
    <row r="31" spans="2:17" ht="9" customHeight="1">
      <c r="B31" s="5"/>
      <c r="C31" s="14"/>
      <c r="D31" s="15"/>
      <c r="E31" s="15"/>
      <c r="F31" s="15"/>
      <c r="G31" s="15"/>
      <c r="I31" s="23" t="s">
        <v>27</v>
      </c>
      <c r="J31" s="23"/>
      <c r="K31" s="23"/>
      <c r="L31" s="23"/>
      <c r="M31" s="23"/>
      <c r="N31" s="23"/>
      <c r="O31" s="23"/>
      <c r="P31" s="23"/>
      <c r="Q31" s="7"/>
    </row>
    <row r="32" spans="2:17" ht="11.25" customHeight="1">
      <c r="B32" s="5"/>
      <c r="C32" s="19" t="s">
        <v>14</v>
      </c>
      <c r="D32" s="19"/>
      <c r="E32" s="19"/>
      <c r="F32" s="20">
        <f>IF(COUNT('One Time Cost'!$F$29,'One Time Cost'!$F$30)=2,SUM('One Time Cost'!$F$29,'One Time Cost'!$F$30),"")</f>
        <v/>
      </c>
      <c r="G32" s="20"/>
      <c r="I32" s="23"/>
      <c r="J32" s="23"/>
      <c r="K32" s="23"/>
      <c r="L32" s="23"/>
      <c r="M32" s="23"/>
      <c r="N32" s="23"/>
      <c r="O32" s="23"/>
      <c r="P32" s="23"/>
      <c r="Q32" s="7"/>
    </row>
    <row r="33" spans="2:17" ht="0.75" customHeight="1">
      <c r="B33" s="5"/>
      <c r="C33" s="19"/>
      <c r="D33" s="19"/>
      <c r="E33" s="19"/>
      <c r="F33" s="20"/>
      <c r="G33" s="20"/>
      <c r="Q33" s="7"/>
    </row>
    <row r="34" spans="2:17" ht="8.25" customHeight="1">
      <c r="B34" s="5"/>
      <c r="C34" s="19"/>
      <c r="D34" s="19"/>
      <c r="E34" s="19"/>
      <c r="F34" s="20"/>
      <c r="G34" s="20"/>
      <c r="I34" s="24" t="s">
        <v>6</v>
      </c>
      <c r="J34" s="24" t="s">
        <v>20</v>
      </c>
      <c r="K34" s="24"/>
      <c r="L34" s="24"/>
      <c r="M34" s="24" t="s">
        <v>28</v>
      </c>
      <c r="N34" s="24"/>
      <c r="O34" s="24"/>
      <c r="P34" s="24"/>
      <c r="Q34" s="7"/>
    </row>
    <row r="35" spans="2:17" ht="11.25" customHeight="1">
      <c r="B35" s="5"/>
      <c r="I35" s="24"/>
      <c r="J35" s="24"/>
      <c r="K35" s="24"/>
      <c r="L35" s="24"/>
      <c r="M35" s="24"/>
      <c r="N35" s="24"/>
      <c r="O35" s="24"/>
      <c r="P35" s="24"/>
      <c r="Q35" s="7"/>
    </row>
    <row r="36" spans="2:17" ht="11.25" customHeight="1">
      <c r="B36" s="5"/>
      <c r="I36" s="25" t="s">
        <v>29</v>
      </c>
      <c r="J36" s="26"/>
      <c r="K36" s="26"/>
      <c r="L36" s="26"/>
      <c r="M36" s="26">
        <f>IF(ISNUMBER('One Time Cost'!$J$36),'One Time Cost'!$J$36*12,"")</f>
        <v/>
      </c>
      <c r="N36" s="26"/>
      <c r="O36" s="26"/>
      <c r="P36" s="26"/>
      <c r="Q36" s="7"/>
    </row>
    <row r="37" spans="2:17" ht="8.25" customHeight="1">
      <c r="B37" s="5"/>
      <c r="C37" s="8" t="s">
        <v>19</v>
      </c>
      <c r="D37" s="8"/>
      <c r="E37" s="8"/>
      <c r="F37" s="8"/>
      <c r="G37" s="8"/>
      <c r="I37" s="25"/>
      <c r="J37" s="26"/>
      <c r="K37" s="26"/>
      <c r="L37" s="26"/>
      <c r="M37" s="26"/>
      <c r="N37" s="26"/>
      <c r="O37" s="26"/>
      <c r="P37" s="26"/>
      <c r="Q37" s="7"/>
    </row>
    <row r="38" spans="2:17" ht="12" customHeight="1">
      <c r="B38" s="5"/>
      <c r="C38" s="8"/>
      <c r="D38" s="8"/>
      <c r="E38" s="8"/>
      <c r="F38" s="8"/>
      <c r="G38" s="8"/>
      <c r="I38" s="25" t="s">
        <v>30</v>
      </c>
      <c r="J38" s="26"/>
      <c r="K38" s="26"/>
      <c r="L38" s="26"/>
      <c r="M38" s="26">
        <f>IF(ISNUMBER('One Time Cost'!$J$38),'One Time Cost'!$J$38*12,"")</f>
        <v/>
      </c>
      <c r="N38" s="26"/>
      <c r="O38" s="26"/>
      <c r="P38" s="26"/>
      <c r="Q38" s="7"/>
    </row>
    <row r="39" spans="2:17" ht="6.75" customHeight="1">
      <c r="B39" s="5"/>
      <c r="I39" s="25"/>
      <c r="J39" s="26"/>
      <c r="K39" s="26"/>
      <c r="L39" s="26"/>
      <c r="M39" s="26"/>
      <c r="N39" s="26"/>
      <c r="O39" s="26"/>
      <c r="P39" s="26"/>
      <c r="Q39" s="7"/>
    </row>
    <row r="40" spans="2:17" ht="3" customHeight="1">
      <c r="B40" s="5"/>
      <c r="I40" s="25" t="s">
        <v>31</v>
      </c>
      <c r="J40" s="26"/>
      <c r="K40" s="26"/>
      <c r="L40" s="26"/>
      <c r="M40" s="26">
        <f>IF(ISNUMBER('One Time Cost'!$J$40),'One Time Cost'!$J$40*1,"")</f>
        <v/>
      </c>
      <c r="N40" s="26"/>
      <c r="O40" s="26"/>
      <c r="P40" s="26"/>
      <c r="Q40" s="7"/>
    </row>
    <row r="41" spans="2:17" ht="15.75" customHeight="1">
      <c r="B41" s="5"/>
      <c r="C41" s="24" t="s">
        <v>6</v>
      </c>
      <c r="D41" s="24" t="s">
        <v>20</v>
      </c>
      <c r="E41" s="24"/>
      <c r="F41" s="24" t="s">
        <v>9</v>
      </c>
      <c r="G41" s="24"/>
      <c r="I41" s="25"/>
      <c r="J41" s="26"/>
      <c r="K41" s="26"/>
      <c r="L41" s="26"/>
      <c r="M41" s="26"/>
      <c r="N41" s="26"/>
      <c r="O41" s="26"/>
      <c r="P41" s="26"/>
      <c r="Q41" s="7"/>
    </row>
    <row r="42" spans="2:17" ht="3" customHeight="1">
      <c r="B42" s="5"/>
      <c r="C42" s="24"/>
      <c r="D42" s="24"/>
      <c r="E42" s="24"/>
      <c r="F42" s="24"/>
      <c r="G42" s="24"/>
      <c r="I42" s="19" t="s">
        <v>14</v>
      </c>
      <c r="J42" s="19"/>
      <c r="K42" s="19"/>
      <c r="L42" s="19"/>
      <c r="M42" s="20">
        <f>IF(COUNT('One Time Cost'!$M$36,'One Time Cost'!$M$38,'One Time Cost'!$M$40)=3,SUM('One Time Cost'!$M$36,'One Time Cost'!$M$38,'One Time Cost'!$M$40),"")</f>
        <v/>
      </c>
      <c r="N42" s="20"/>
      <c r="O42" s="20"/>
      <c r="P42" s="20"/>
      <c r="Q42" s="7"/>
    </row>
    <row r="43" spans="2:17" ht="17.25" customHeight="1">
      <c r="B43" s="5"/>
      <c r="C43" s="14" t="s">
        <v>21</v>
      </c>
      <c r="D43" s="15"/>
      <c r="E43" s="15"/>
      <c r="F43" s="15">
        <f>IF(COUNT('One Time Cost'!$D$43,'Input Details'!$C$8)=2,'One Time Cost'!$D$43*'Input Details'!$C$8,"")</f>
        <v/>
      </c>
      <c r="G43" s="15"/>
      <c r="I43" s="19"/>
      <c r="J43" s="19"/>
      <c r="K43" s="19"/>
      <c r="L43" s="19"/>
      <c r="M43" s="20"/>
      <c r="N43" s="20"/>
      <c r="O43" s="20"/>
      <c r="P43" s="20"/>
      <c r="Q43" s="7"/>
    </row>
    <row r="44" spans="2:17" ht="2.25" customHeight="1">
      <c r="B44" s="5"/>
      <c r="C44" s="14"/>
      <c r="D44" s="15"/>
      <c r="E44" s="15"/>
      <c r="F44" s="15"/>
      <c r="G44" s="15"/>
      <c r="Q44" s="7"/>
    </row>
    <row r="45" spans="2:17" ht="18.75" customHeight="1">
      <c r="B45" s="5"/>
      <c r="C45" s="14" t="s">
        <v>22</v>
      </c>
      <c r="D45" s="15"/>
      <c r="E45" s="15"/>
      <c r="F45" s="15">
        <f>IF(COUNT('One Time Cost'!$D$45,'Input Details'!$C$9)=2,'One Time Cost'!$D$45*'Input Details'!$C$9,"")</f>
        <v/>
      </c>
      <c r="G45" s="15"/>
      <c r="Q45" s="7"/>
    </row>
    <row r="46" spans="2:17" ht="36" customHeight="1">
      <c r="B46" s="5"/>
      <c r="C46" s="14" t="s">
        <v>23</v>
      </c>
      <c r="D46" s="15"/>
      <c r="E46" s="15"/>
      <c r="F46" s="15">
        <f>IF(COUNT('One Time Cost'!$D$46,'Input Details'!$C$10)=2,'One Time Cost'!$D$46*'Input Details'!$C$10,"")</f>
        <v/>
      </c>
      <c r="G46" s="15"/>
      <c r="Q46" s="7"/>
    </row>
    <row r="47" spans="2:17" ht="20.25" customHeight="1">
      <c r="B47" s="5"/>
      <c r="C47" s="19" t="s">
        <v>14</v>
      </c>
      <c r="D47" s="19"/>
      <c r="E47" s="19"/>
      <c r="F47" s="20">
        <f>IF(COUNT('One Time Cost'!$F$43,'One Time Cost'!$F$45,'One Time Cost'!$F$46)=3,SUM('One Time Cost'!$F$43,'One Time Cost'!$F$45,'One Time Cost'!$F$46),"")</f>
        <v/>
      </c>
      <c r="G47" s="20"/>
      <c r="Q47" s="7"/>
    </row>
    <row r="48" spans="2:17">
      <c r="B48" s="5"/>
      <c r="Q48" s="7"/>
    </row>
    <row r="49" spans="2:17" ht="12" customHeight="1">
      <c r="B49" s="5"/>
      <c r="L49" s="2"/>
      <c r="M49" s="3"/>
      <c r="N49" s="3"/>
      <c r="O49" s="4"/>
      <c r="Q49" s="7"/>
    </row>
    <row r="50" spans="2:17" ht="24" customHeight="1">
      <c r="B50" s="5"/>
      <c r="C50" s="27" t="s">
        <v>24</v>
      </c>
      <c r="D50" s="27"/>
      <c r="E50" s="27"/>
      <c r="F50" s="27"/>
      <c r="G50" s="27"/>
      <c r="L50" s="28"/>
      <c r="M50" s="29"/>
      <c r="N50" s="29"/>
      <c r="O50" s="30"/>
      <c r="Q50" s="7"/>
    </row>
    <row r="51" spans="2:17" ht="18" customHeight="1">
      <c r="B51" s="5"/>
      <c r="C51" s="27"/>
      <c r="D51" s="27"/>
      <c r="E51" s="27"/>
      <c r="F51" s="27"/>
      <c r="G51" s="27"/>
      <c r="Q51" s="7"/>
    </row>
    <row r="52" spans="2:17" ht="9.75" customHeight="1">
      <c r="B52" s="28"/>
      <c r="C52" s="29"/>
      <c r="D52" s="29"/>
      <c r="E52" s="29"/>
      <c r="F52" s="29"/>
      <c r="G52" s="29"/>
      <c r="H52" s="29"/>
      <c r="I52" s="29"/>
      <c r="J52" s="29"/>
      <c r="K52" s="29"/>
      <c r="L52" s="29"/>
      <c r="M52" s="29"/>
      <c r="N52" s="29"/>
      <c r="O52" s="29"/>
      <c r="P52" s="29"/>
      <c r="Q52" s="30"/>
    </row>
    <row r="53" spans="2:17" ht="21" customHeight="1"/>
    <row r="54" spans="2:17" ht="30.75" customHeight="1">
      <c r="B54" s="31" t="s">
        <v>32</v>
      </c>
      <c r="C54" s="31"/>
      <c r="D54" s="31"/>
      <c r="E54" s="31"/>
      <c r="F54" s="31"/>
      <c r="G54" s="31"/>
      <c r="H54" s="31"/>
      <c r="I54" s="31"/>
      <c r="J54" s="31"/>
      <c r="K54" s="31"/>
      <c r="L54" s="31"/>
      <c r="M54" s="31"/>
      <c r="N54" s="31"/>
      <c r="O54" s="31"/>
      <c r="P54" s="31"/>
      <c r="Q54" s="31"/>
    </row>
    <row r="55" spans="2:17" ht="87" customHeight="1"/>
    <row r="56" spans="2:17" ht="14.25" customHeight="1">
      <c r="B56" s="32" t="s">
        <v>1</v>
      </c>
      <c r="C56" s="32"/>
      <c r="D56" s="32"/>
      <c r="E56" s="32"/>
      <c r="F56" s="32"/>
      <c r="G56" s="32"/>
      <c r="H56" s="32"/>
      <c r="I56" s="32"/>
      <c r="J56" s="32"/>
      <c r="K56" s="32"/>
      <c r="L56" s="32"/>
      <c r="M56" s="32"/>
      <c r="O56" s="33" t="s">
        <v>2</v>
      </c>
      <c r="P56" s="33"/>
      <c r="Q56" s="33"/>
    </row>
    <row r="57" spans="2:17" ht="27" customHeight="1"/>
  </sheetData>
  <mergeCells count="75">
    <mergeCell ref="B2:Q2"/>
    <mergeCell ref="B56:M56"/>
    <mergeCell ref="O56:Q56"/>
    <mergeCell ref="C5:P5"/>
    <mergeCell ref="C7:P7"/>
    <mergeCell ref="C9:G10"/>
    <mergeCell ref="C12:C14"/>
    <mergeCell ref="D12:D14"/>
    <mergeCell ref="E12:F14"/>
    <mergeCell ref="G12:G14"/>
    <mergeCell ref="C15:C16"/>
    <mergeCell ref="D15:D16"/>
    <mergeCell ref="E15:F16"/>
    <mergeCell ref="G15:G16"/>
    <mergeCell ref="C17:C18"/>
    <mergeCell ref="D17:D18"/>
    <mergeCell ref="E17:F18"/>
    <mergeCell ref="G17:G18"/>
    <mergeCell ref="E19:F19"/>
    <mergeCell ref="C20:C21"/>
    <mergeCell ref="D20:D21"/>
    <mergeCell ref="E20:F21"/>
    <mergeCell ref="G20:G21"/>
    <mergeCell ref="C22:F23"/>
    <mergeCell ref="G22:G23"/>
    <mergeCell ref="C25:G26"/>
    <mergeCell ref="D28:E28"/>
    <mergeCell ref="F28:G28"/>
    <mergeCell ref="D29:E29"/>
    <mergeCell ref="F29:G29"/>
    <mergeCell ref="C30:C31"/>
    <mergeCell ref="D30:E31"/>
    <mergeCell ref="F30:G31"/>
    <mergeCell ref="C32:E34"/>
    <mergeCell ref="F32:G34"/>
    <mergeCell ref="C37:G38"/>
    <mergeCell ref="C41:C42"/>
    <mergeCell ref="D41:E42"/>
    <mergeCell ref="F41:G42"/>
    <mergeCell ref="C43:C44"/>
    <mergeCell ref="D43:E44"/>
    <mergeCell ref="F43:G44"/>
    <mergeCell ref="D45:E45"/>
    <mergeCell ref="F45:G45"/>
    <mergeCell ref="D46:E46"/>
    <mergeCell ref="F46:G46"/>
    <mergeCell ref="C47:E47"/>
    <mergeCell ref="F47:G47"/>
    <mergeCell ref="C50:G51"/>
    <mergeCell ref="I10:P12"/>
    <mergeCell ref="I14:J15"/>
    <mergeCell ref="K14:P15"/>
    <mergeCell ref="I16:J17"/>
    <mergeCell ref="K16:P17"/>
    <mergeCell ref="I18:J20"/>
    <mergeCell ref="K18:P20"/>
    <mergeCell ref="I21:J22"/>
    <mergeCell ref="K21:P22"/>
    <mergeCell ref="I23:P25"/>
    <mergeCell ref="I31:P32"/>
    <mergeCell ref="I34:I35"/>
    <mergeCell ref="J34:L35"/>
    <mergeCell ref="M34:P35"/>
    <mergeCell ref="I36:I37"/>
    <mergeCell ref="J36:L37"/>
    <mergeCell ref="M36:P37"/>
    <mergeCell ref="I38:I39"/>
    <mergeCell ref="J38:L39"/>
    <mergeCell ref="M38:P39"/>
    <mergeCell ref="I40:I41"/>
    <mergeCell ref="J40:L41"/>
    <mergeCell ref="M40:P41"/>
    <mergeCell ref="I42:L43"/>
    <mergeCell ref="M42:P43"/>
    <mergeCell ref="B54:Q54"/>
  </mergeCells>
  <dataValidations count="16">
    <dataValidation type="decimal" operator="greaterThanOrEqual" allowBlank="1" showInputMessage="1" showErrorMessage="1" error="Enter a documented non-negative number or leave blank." sqref="D15:D16">
      <formula1>0</formula1>
    </dataValidation>
    <dataValidation type="decimal" operator="greaterThanOrEqual" allowBlank="1" showInputMessage="1" showErrorMessage="1" error="Enter a documented non-negative number or leave blank." sqref="E15:F16">
      <formula1>0</formula1>
    </dataValidation>
    <dataValidation type="decimal" operator="greaterThanOrEqual" allowBlank="1" showInputMessage="1" showErrorMessage="1" error="Enter a documented non-negative number or leave blank." sqref="D17:D18">
      <formula1>0</formula1>
    </dataValidation>
    <dataValidation type="decimal" operator="greaterThanOrEqual" allowBlank="1" showInputMessage="1" showErrorMessage="1" error="Enter a documented non-negative number or leave blank." sqref="E17:F18">
      <formula1>0</formula1>
    </dataValidation>
    <dataValidation type="decimal" operator="greaterThanOrEqual" allowBlank="1" showInputMessage="1" showErrorMessage="1" error="Enter a documented non-negative number or leave blank." sqref="D19">
      <formula1>0</formula1>
    </dataValidation>
    <dataValidation type="decimal" operator="greaterThanOrEqual" allowBlank="1" showInputMessage="1" showErrorMessage="1" error="Enter a documented non-negative number or leave blank." sqref="E19:F19">
      <formula1>0</formula1>
    </dataValidation>
    <dataValidation type="decimal" operator="greaterThanOrEqual" allowBlank="1" showInputMessage="1" showErrorMessage="1" error="Enter a documented non-negative number or leave blank." sqref="D20:D21">
      <formula1>0</formula1>
    </dataValidation>
    <dataValidation type="decimal" operator="greaterThanOrEqual" allowBlank="1" showInputMessage="1" showErrorMessage="1" error="Enter a documented non-negative number or leave blank." sqref="E20:F21">
      <formula1>0</formula1>
    </dataValidation>
    <dataValidation type="decimal" operator="greaterThanOrEqual" allowBlank="1" showInputMessage="1" showErrorMessage="1" error="Enter a documented non-negative number or leave blank." sqref="D29:E29">
      <formula1>0</formula1>
    </dataValidation>
    <dataValidation type="decimal" operator="greaterThanOrEqual" allowBlank="1" showInputMessage="1" showErrorMessage="1" error="Enter a documented non-negative number or leave blank." sqref="D30:E31">
      <formula1>0</formula1>
    </dataValidation>
    <dataValidation type="decimal" operator="greaterThanOrEqual" allowBlank="1" showInputMessage="1" showErrorMessage="1" error="Enter a documented non-negative number or leave blank." sqref="D43:E44">
      <formula1>0</formula1>
    </dataValidation>
    <dataValidation type="decimal" operator="greaterThanOrEqual" allowBlank="1" showInputMessage="1" showErrorMessage="1" error="Enter a documented non-negative number or leave blank." sqref="D45:E45">
      <formula1>0</formula1>
    </dataValidation>
    <dataValidation type="decimal" operator="greaterThanOrEqual" allowBlank="1" showInputMessage="1" showErrorMessage="1" error="Enter a documented non-negative number or leave blank." sqref="D46:E46">
      <formula1>0</formula1>
    </dataValidation>
    <dataValidation type="decimal" operator="greaterThanOrEqual" allowBlank="1" showInputMessage="1" showErrorMessage="1" error="Enter a documented non-negative number or leave blank." sqref="J36:L37">
      <formula1>0</formula1>
    </dataValidation>
    <dataValidation type="decimal" operator="greaterThanOrEqual" allowBlank="1" showInputMessage="1" showErrorMessage="1" error="Enter a documented non-negative number or leave blank." sqref="J38:L39">
      <formula1>0</formula1>
    </dataValidation>
    <dataValidation type="decimal" operator="greaterThanOrEqual" allowBlank="1" showInputMessage="1" showErrorMessage="1" error="Enter a documented non-negative number or leave blank." sqref="J40:L41">
      <formula1>0</formula1>
    </dataValidation>
  </dataValidations>
  <pageMargins left="0" right="0" top="0" bottom="0" header="0.3" footer="0.3"/>
  <pageSetup paperSize="9" orientation="portrait"/>
  <legacyDrawing r:id="rId1"/>
</worksheet>
</file>

<file path=xl/worksheets/sheet2.xml><?xml version="1.0" encoding="utf-8"?>
<worksheet xmlns="http://schemas.openxmlformats.org/spreadsheetml/2006/main" xmlns:r="http://schemas.openxmlformats.org/officeDocument/2006/relationships">
  <sheetPr>
    <tabColor rgb="FF6A1839"/>
    <pageSetUpPr fitToPage="1"/>
  </sheetPr>
  <dimension ref="A1:N28"/>
  <sheetViews>
    <sheetView showGridLines="0" zoomScale="90" zoomScaleNormal="90" workbookViewId="0"/>
  </sheetViews>
  <sheetFormatPr defaultRowHeight="15"/>
  <cols>
    <col min="1" max="1" width="8.42578125" customWidth="1"/>
    <col min="2" max="2" width="1.85546875" customWidth="1"/>
    <col min="3" max="3" width="19.85546875" customWidth="1"/>
    <col min="4" max="4" width="13.28515625" customWidth="1"/>
    <col min="5" max="5" width="9.5703125" customWidth="1"/>
    <col min="6" max="6" width="6.28515625" customWidth="1"/>
    <col min="7" max="7" width="22.28515625" customWidth="1"/>
    <col min="8" max="8" width="10.85546875" customWidth="1"/>
    <col min="9" max="9" width="0.140625" customWidth="1"/>
    <col min="10" max="10" width="2.42578125" customWidth="1"/>
    <col min="11" max="11" width="1.5703125" customWidth="1"/>
    <col min="12" max="12" width="5.85546875" customWidth="1"/>
    <col min="13" max="13" width="0.140625" customWidth="1"/>
    <col min="14" max="14" width="2.28515625" customWidth="1"/>
    <col min="15" max="15" width="8.42578125" customWidth="1"/>
  </cols>
  <sheetData>
    <row r="1" spans="2:14" ht="44.25" customHeight="1"/>
    <row r="2" spans="2:14" ht="18" customHeight="1">
      <c r="B2" s="1" t="s">
        <v>0</v>
      </c>
      <c r="C2" s="1"/>
      <c r="D2" s="1"/>
      <c r="E2" s="1"/>
      <c r="F2" s="1"/>
      <c r="G2" s="1"/>
      <c r="H2" s="1"/>
      <c r="I2" s="1"/>
      <c r="J2" s="1"/>
      <c r="K2" s="1"/>
      <c r="L2" s="1"/>
      <c r="M2" s="1"/>
      <c r="N2" s="1"/>
    </row>
    <row r="3" spans="2:14" ht="18" customHeight="1"/>
    <row r="4" spans="2:14" ht="18.75" customHeight="1">
      <c r="B4" s="2"/>
      <c r="C4" s="14" t="s">
        <v>18</v>
      </c>
      <c r="D4" s="15">
        <f>IF(ISNUMBER('One Time Cost'!$D$30),'One Time Cost'!$D$30,"")</f>
        <v/>
      </c>
      <c r="E4" s="15">
        <f>IF(ISNUMBER('One Time Cost'!$F$30),'One Time Cost'!$F$30,"")</f>
        <v/>
      </c>
      <c r="F4" s="3"/>
      <c r="G4" s="24" t="s">
        <v>6</v>
      </c>
      <c r="H4" s="24" t="s">
        <v>20</v>
      </c>
      <c r="I4" s="24"/>
      <c r="J4" s="24" t="s">
        <v>28</v>
      </c>
      <c r="K4" s="24"/>
      <c r="L4" s="24"/>
      <c r="M4" s="24"/>
      <c r="N4" s="4"/>
    </row>
    <row r="5" spans="2:14" ht="18.75" customHeight="1">
      <c r="B5" s="5"/>
      <c r="C5" s="19" t="s">
        <v>14</v>
      </c>
      <c r="D5" s="19"/>
      <c r="E5" s="20">
        <f>IF(ISNUMBER('One Time Cost'!$F$32),'One Time Cost'!$F$32,"")</f>
        <v/>
      </c>
      <c r="G5" s="25" t="s">
        <v>29</v>
      </c>
      <c r="H5" s="26">
        <f>IF(ISNUMBER('One Time Cost'!$J$36),'One Time Cost'!$J$36,"")</f>
        <v/>
      </c>
      <c r="I5" s="26"/>
      <c r="J5" s="26">
        <f>IF(ISNUMBER('One Time Cost'!$M$36),'One Time Cost'!$M$36,"")</f>
        <v/>
      </c>
      <c r="K5" s="26"/>
      <c r="L5" s="26"/>
      <c r="M5" s="26"/>
      <c r="N5" s="7"/>
    </row>
    <row r="6" spans="2:14" ht="0.75" customHeight="1">
      <c r="B6" s="5"/>
      <c r="C6" s="19"/>
      <c r="D6" s="19"/>
      <c r="E6" s="20"/>
      <c r="G6" s="25" t="s">
        <v>30</v>
      </c>
      <c r="H6" s="26">
        <f>IF(ISNUMBER('One Time Cost'!$J$38),'One Time Cost'!$J$38,"")</f>
        <v/>
      </c>
      <c r="I6" s="26"/>
      <c r="J6" s="26">
        <f>IF(ISNUMBER('One Time Cost'!$M$38),'One Time Cost'!$M$38,"")</f>
        <v/>
      </c>
      <c r="K6" s="26"/>
      <c r="L6" s="26"/>
      <c r="M6" s="26"/>
      <c r="N6" s="7"/>
    </row>
    <row r="7" spans="2:14" ht="18" customHeight="1">
      <c r="B7" s="5"/>
      <c r="G7" s="25"/>
      <c r="H7" s="26"/>
      <c r="I7" s="26"/>
      <c r="J7" s="26"/>
      <c r="K7" s="26"/>
      <c r="L7" s="26"/>
      <c r="M7" s="26"/>
      <c r="N7" s="7"/>
    </row>
    <row r="8" spans="2:14" ht="14.25" customHeight="1">
      <c r="B8" s="5"/>
      <c r="G8" s="25" t="s">
        <v>31</v>
      </c>
      <c r="H8" s="26">
        <f>IF(ISNUMBER('One Time Cost'!$J$40),'One Time Cost'!$J$40,"")</f>
        <v/>
      </c>
      <c r="I8" s="26"/>
      <c r="J8" s="26">
        <f>IF(ISNUMBER('One Time Cost'!$M$40),'One Time Cost'!$M$40,"")</f>
        <v/>
      </c>
      <c r="K8" s="26"/>
      <c r="L8" s="26"/>
      <c r="M8" s="26"/>
      <c r="N8" s="7"/>
    </row>
    <row r="9" spans="2:14" ht="5.25" customHeight="1">
      <c r="B9" s="5"/>
      <c r="C9" s="8" t="s">
        <v>19</v>
      </c>
      <c r="D9" s="8"/>
      <c r="E9" s="8"/>
      <c r="G9" s="25"/>
      <c r="H9" s="26"/>
      <c r="I9" s="26"/>
      <c r="J9" s="26"/>
      <c r="K9" s="26"/>
      <c r="L9" s="26"/>
      <c r="M9" s="26"/>
      <c r="N9" s="7"/>
    </row>
    <row r="10" spans="2:14">
      <c r="B10" s="5"/>
      <c r="C10" s="8"/>
      <c r="D10" s="8"/>
      <c r="E10" s="8"/>
      <c r="G10" s="19" t="s">
        <v>14</v>
      </c>
      <c r="H10" s="19"/>
      <c r="I10" s="19"/>
      <c r="J10" s="20">
        <f>IF(ISNUMBER('One Time Cost'!$M$42),'One Time Cost'!$M$42,"")</f>
        <v/>
      </c>
      <c r="K10" s="20"/>
      <c r="L10" s="20"/>
      <c r="M10" s="20"/>
      <c r="N10" s="7"/>
    </row>
    <row r="11" spans="2:14" ht="5.25" customHeight="1">
      <c r="B11" s="5"/>
      <c r="G11" s="19"/>
      <c r="H11" s="19"/>
      <c r="I11" s="19"/>
      <c r="J11" s="20"/>
      <c r="K11" s="20"/>
      <c r="L11" s="20"/>
      <c r="M11" s="20"/>
      <c r="N11" s="7"/>
    </row>
    <row r="12" spans="2:14" ht="3" customHeight="1">
      <c r="B12" s="5"/>
      <c r="N12" s="7"/>
    </row>
    <row r="13" spans="2:14" ht="18.75" customHeight="1">
      <c r="B13" s="5"/>
      <c r="C13" s="24" t="s">
        <v>6</v>
      </c>
      <c r="D13" s="24" t="s">
        <v>20</v>
      </c>
      <c r="E13" s="24" t="s">
        <v>9</v>
      </c>
      <c r="N13" s="7"/>
    </row>
    <row r="14" spans="2:14" ht="18.75" customHeight="1">
      <c r="B14" s="5"/>
      <c r="C14" s="14" t="s">
        <v>21</v>
      </c>
      <c r="D14" s="15">
        <f>IF(ISNUMBER('One Time Cost'!$D$43),'One Time Cost'!$D$43,"")</f>
        <v/>
      </c>
      <c r="E14" s="15">
        <f>IF(ISNUMBER('One Time Cost'!$F$43),'One Time Cost'!$F$43,"")</f>
        <v/>
      </c>
      <c r="N14" s="7"/>
    </row>
    <row r="15" spans="2:14" ht="18.75" customHeight="1">
      <c r="B15" s="5"/>
      <c r="C15" s="14" t="s">
        <v>22</v>
      </c>
      <c r="D15" s="15">
        <f>IF(ISNUMBER('One Time Cost'!$D$45),'One Time Cost'!$D$45,"")</f>
        <v/>
      </c>
      <c r="E15" s="15">
        <f>IF(ISNUMBER('One Time Cost'!$F$45),'One Time Cost'!$F$45,"")</f>
        <v/>
      </c>
      <c r="N15" s="7"/>
    </row>
    <row r="16" spans="2:14" ht="36" customHeight="1">
      <c r="B16" s="5"/>
      <c r="C16" s="14" t="s">
        <v>23</v>
      </c>
      <c r="D16" s="15">
        <f>IF(ISNUMBER('One Time Cost'!$D$46),'One Time Cost'!$D$46,"")</f>
        <v/>
      </c>
      <c r="E16" s="15">
        <f>IF(ISNUMBER('One Time Cost'!$F$46),'One Time Cost'!$F$46,"")</f>
        <v/>
      </c>
      <c r="N16" s="7"/>
    </row>
    <row r="17" spans="2:14" ht="20.25" customHeight="1">
      <c r="B17" s="5"/>
      <c r="C17" s="19" t="s">
        <v>14</v>
      </c>
      <c r="D17" s="19"/>
      <c r="E17" s="20">
        <f>IF(ISNUMBER('One Time Cost'!$F$47),'One Time Cost'!$F$47,"")</f>
        <v/>
      </c>
      <c r="N17" s="7"/>
    </row>
    <row r="18" spans="2:14" ht="26.25" customHeight="1">
      <c r="B18" s="5"/>
      <c r="N18" s="7"/>
    </row>
    <row r="19" spans="2:14" ht="36" customHeight="1">
      <c r="B19" s="5"/>
      <c r="C19" s="27" t="s">
        <v>24</v>
      </c>
      <c r="D19" s="27"/>
      <c r="E19" s="27"/>
      <c r="I19" s="34"/>
      <c r="J19" s="35"/>
      <c r="K19" s="35"/>
      <c r="L19" s="36"/>
      <c r="N19" s="7"/>
    </row>
    <row r="20" spans="2:14" ht="12.75" customHeight="1">
      <c r="B20" s="5"/>
      <c r="C20" s="27"/>
      <c r="D20" s="27"/>
      <c r="E20" s="27"/>
      <c r="N20" s="7"/>
    </row>
    <row r="21" spans="2:14" ht="12.75" customHeight="1">
      <c r="B21" s="28"/>
      <c r="C21" s="29"/>
      <c r="D21" s="29"/>
      <c r="E21" s="29"/>
      <c r="F21" s="29"/>
      <c r="G21" s="29"/>
      <c r="H21" s="29"/>
      <c r="I21" s="29"/>
      <c r="J21" s="29"/>
      <c r="K21" s="29"/>
      <c r="L21" s="29"/>
      <c r="M21" s="29"/>
      <c r="N21" s="30"/>
    </row>
    <row r="22" spans="2:14" ht="24.75" customHeight="1"/>
    <row r="23" spans="2:14" ht="77.25" customHeight="1">
      <c r="B23" s="9" t="s">
        <v>34</v>
      </c>
      <c r="C23" s="9"/>
      <c r="D23" s="9"/>
      <c r="E23" s="9"/>
      <c r="F23" s="9"/>
      <c r="G23" s="9"/>
      <c r="H23" s="9"/>
      <c r="I23" s="9"/>
      <c r="J23" s="9"/>
      <c r="K23" s="9"/>
      <c r="L23" s="9"/>
      <c r="M23" s="9"/>
      <c r="N23" s="9"/>
    </row>
    <row r="24" spans="2:14" ht="21" customHeight="1"/>
    <row r="25" spans="2:14" ht="68.25" customHeight="1">
      <c r="B25" s="9" t="s">
        <v>35</v>
      </c>
      <c r="C25" s="9"/>
      <c r="D25" s="9"/>
      <c r="E25" s="9"/>
      <c r="F25" s="9"/>
      <c r="G25" s="9"/>
      <c r="H25" s="9"/>
      <c r="I25" s="9"/>
      <c r="J25" s="9"/>
      <c r="K25" s="9"/>
      <c r="L25" s="9"/>
      <c r="M25" s="9"/>
      <c r="N25" s="9"/>
    </row>
    <row r="26" spans="2:14" ht="230.25" customHeight="1"/>
    <row r="27" spans="2:14" ht="14.25" customHeight="1">
      <c r="B27" s="32" t="s">
        <v>1</v>
      </c>
      <c r="C27" s="32"/>
      <c r="D27" s="32"/>
      <c r="E27" s="32"/>
      <c r="F27" s="32"/>
      <c r="G27" s="32"/>
      <c r="H27" s="32"/>
      <c r="I27" s="32"/>
      <c r="J27" s="32"/>
      <c r="L27" s="33" t="s">
        <v>33</v>
      </c>
      <c r="M27" s="33"/>
      <c r="N27" s="33"/>
    </row>
    <row r="28" spans="2:14" ht="27" customHeight="1"/>
  </sheetData>
  <mergeCells count="22">
    <mergeCell ref="B2:N2"/>
    <mergeCell ref="B27:J27"/>
    <mergeCell ref="L27:N27"/>
    <mergeCell ref="C5:D6"/>
    <mergeCell ref="E5:E6"/>
    <mergeCell ref="C9:E10"/>
    <mergeCell ref="C17:D17"/>
    <mergeCell ref="C19:E20"/>
    <mergeCell ref="H4:I4"/>
    <mergeCell ref="J4:M4"/>
    <mergeCell ref="H5:I5"/>
    <mergeCell ref="J5:M5"/>
    <mergeCell ref="G6:G7"/>
    <mergeCell ref="H6:I7"/>
    <mergeCell ref="J6:M7"/>
    <mergeCell ref="G8:G9"/>
    <mergeCell ref="H8:I9"/>
    <mergeCell ref="J8:M9"/>
    <mergeCell ref="G10:I11"/>
    <mergeCell ref="J10:M11"/>
    <mergeCell ref="B23:N23"/>
    <mergeCell ref="B25:N25"/>
  </mergeCells>
  <pageMargins left="0" right="0" top="0" bottom="0" header="0.3" footer="0.3"/>
  <pageSetup paperSize="9" orientation="portrait"/>
</worksheet>
</file>

<file path=xl/worksheets/sheet3.xml><?xml version="1.0" encoding="utf-8"?>
<worksheet xmlns="http://schemas.openxmlformats.org/spreadsheetml/2006/main" xmlns:r="http://schemas.openxmlformats.org/officeDocument/2006/relationships">
  <sheetPr>
    <tabColor rgb="FF6A1839"/>
    <pageSetUpPr fitToPage="1"/>
  </sheetPr>
  <dimension ref="A1:V45"/>
  <sheetViews>
    <sheetView showGridLines="0" zoomScale="90" zoomScaleNormal="90" workbookViewId="0"/>
  </sheetViews>
  <sheetFormatPr defaultRowHeight="15"/>
  <cols>
    <col min="1" max="1" width="8.42578125" customWidth="1"/>
    <col min="2" max="2" width="1.28515625" customWidth="1"/>
    <col min="3" max="3" width="15" customWidth="1"/>
    <col min="4" max="4" width="1.28515625" customWidth="1"/>
    <col min="5" max="5" width="8" customWidth="1"/>
    <col min="6" max="6" width="5.5703125" customWidth="1"/>
    <col min="7" max="7" width="3.85546875" customWidth="1"/>
    <col min="8" max="8" width="9.7109375" customWidth="1"/>
    <col min="9" max="9" width="1.85546875" customWidth="1"/>
    <col min="10" max="10" width="3.28515625" customWidth="1"/>
    <col min="11" max="11" width="15" customWidth="1"/>
    <col min="12" max="12" width="1.28515625" customWidth="1"/>
    <col min="13" max="13" width="8" customWidth="1"/>
    <col min="14" max="14" width="5.5703125" customWidth="1"/>
    <col min="15" max="15" width="1" customWidth="1"/>
    <col min="16" max="16" width="2.85546875" customWidth="1"/>
    <col min="17" max="17" width="3" customWidth="1"/>
    <col min="18" max="18" width="1.5703125" customWidth="1"/>
    <col min="19" max="19" width="4.5703125" customWidth="1"/>
    <col min="20" max="20" width="0.5703125" customWidth="1"/>
    <col min="21" max="21" width="1.85546875" customWidth="1"/>
    <col min="22" max="22" width="1.28515625" customWidth="1"/>
    <col min="23" max="23" width="8.42578125" customWidth="1"/>
  </cols>
  <sheetData>
    <row r="1" spans="2:22" ht="44.25" customHeight="1"/>
    <row r="2" spans="2:22" ht="18" customHeight="1">
      <c r="B2" s="1" t="s">
        <v>0</v>
      </c>
      <c r="C2" s="1"/>
      <c r="D2" s="1"/>
      <c r="E2" s="1"/>
      <c r="F2" s="1"/>
      <c r="G2" s="1"/>
      <c r="H2" s="1"/>
      <c r="I2" s="1"/>
      <c r="J2" s="1"/>
      <c r="K2" s="1"/>
      <c r="L2" s="1"/>
      <c r="M2" s="1"/>
      <c r="N2" s="1"/>
      <c r="O2" s="1"/>
      <c r="P2" s="1"/>
      <c r="Q2" s="1"/>
      <c r="R2" s="1"/>
      <c r="S2" s="1"/>
      <c r="T2" s="1"/>
      <c r="U2" s="1"/>
      <c r="V2" s="1"/>
    </row>
    <row r="3" spans="2:22" ht="8.25" customHeight="1"/>
    <row r="4" spans="2:22" ht="20.25" customHeight="1">
      <c r="C4" s="37" t="s">
        <v>36</v>
      </c>
      <c r="D4" s="37"/>
      <c r="E4" s="37"/>
      <c r="F4" s="37"/>
      <c r="G4" s="37"/>
      <c r="H4" s="37"/>
      <c r="I4" s="37"/>
      <c r="J4" s="37"/>
      <c r="K4" s="37"/>
      <c r="L4" s="37"/>
      <c r="M4" s="37"/>
      <c r="N4" s="37"/>
      <c r="O4" s="37"/>
      <c r="P4" s="37"/>
      <c r="Q4" s="37"/>
      <c r="R4" s="37"/>
      <c r="S4" s="37"/>
    </row>
    <row r="5" spans="2:22" ht="12.75" customHeight="1"/>
    <row r="6" spans="2:22" ht="3" customHeight="1">
      <c r="B6" s="2"/>
      <c r="C6" s="3"/>
      <c r="D6" s="3"/>
      <c r="E6" s="3"/>
      <c r="F6" s="3"/>
      <c r="G6" s="3"/>
      <c r="H6" s="3"/>
      <c r="I6" s="3"/>
      <c r="J6" s="3"/>
      <c r="K6" s="3"/>
      <c r="L6" s="3"/>
      <c r="M6" s="3"/>
      <c r="N6" s="3"/>
      <c r="O6" s="3"/>
      <c r="P6" s="3"/>
      <c r="Q6" s="3"/>
      <c r="R6" s="3"/>
      <c r="S6" s="3"/>
      <c r="T6" s="3"/>
      <c r="U6" s="3"/>
      <c r="V6" s="4"/>
    </row>
    <row r="7" spans="2:22" ht="14.25" customHeight="1">
      <c r="B7" s="5"/>
      <c r="C7" s="38" t="s">
        <v>38</v>
      </c>
      <c r="D7" s="38"/>
      <c r="E7" s="38"/>
      <c r="F7" s="38"/>
      <c r="G7" s="38"/>
      <c r="H7" s="38"/>
      <c r="I7" s="38"/>
      <c r="J7" s="38"/>
      <c r="K7" s="38"/>
      <c r="L7" s="38"/>
      <c r="M7" s="38"/>
      <c r="N7" s="38"/>
      <c r="O7" s="38"/>
      <c r="P7" s="38"/>
      <c r="Q7" s="38"/>
      <c r="R7" s="38"/>
      <c r="S7" s="38"/>
      <c r="T7" s="38"/>
      <c r="U7" s="38"/>
      <c r="V7" s="7"/>
    </row>
    <row r="8" spans="2:22">
      <c r="B8" s="5"/>
      <c r="C8" s="38" t="s">
        <v>39</v>
      </c>
      <c r="D8" s="38"/>
      <c r="E8" s="38"/>
      <c r="F8" s="38"/>
      <c r="G8" s="38"/>
      <c r="H8" s="38"/>
      <c r="I8" s="38"/>
      <c r="J8" s="38"/>
      <c r="K8" s="38"/>
      <c r="L8" s="38"/>
      <c r="M8" s="38"/>
      <c r="N8" s="38"/>
      <c r="O8" s="38"/>
      <c r="P8" s="38"/>
      <c r="Q8" s="38"/>
      <c r="R8" s="38"/>
      <c r="S8" s="38"/>
      <c r="T8" s="38"/>
      <c r="U8" s="38"/>
      <c r="V8" s="7"/>
    </row>
    <row r="9" spans="2:22" ht="6.75" customHeight="1">
      <c r="B9" s="5"/>
      <c r="V9" s="7"/>
    </row>
    <row r="10" spans="2:22" ht="12.75" customHeight="1">
      <c r="B10" s="5"/>
      <c r="C10" s="39" t="s">
        <v>40</v>
      </c>
      <c r="D10" s="39"/>
      <c r="E10" s="39"/>
      <c r="F10" s="39"/>
      <c r="G10" s="39"/>
      <c r="H10" s="39"/>
      <c r="I10" s="39"/>
      <c r="K10" s="39" t="s">
        <v>50</v>
      </c>
      <c r="L10" s="39"/>
      <c r="M10" s="39"/>
      <c r="N10" s="39"/>
      <c r="O10" s="39"/>
      <c r="P10" s="39"/>
      <c r="Q10" s="39"/>
      <c r="R10" s="39"/>
      <c r="S10" s="39"/>
      <c r="T10" s="39"/>
      <c r="U10" s="39"/>
      <c r="V10" s="7"/>
    </row>
    <row r="11" spans="2:22" ht="12.75" customHeight="1">
      <c r="B11" s="5"/>
      <c r="C11" s="40" t="s">
        <v>6</v>
      </c>
      <c r="D11" s="40" t="s">
        <v>41</v>
      </c>
      <c r="E11" s="40"/>
      <c r="F11" s="40" t="s">
        <v>42</v>
      </c>
      <c r="G11" s="40"/>
      <c r="H11" s="40" t="s">
        <v>9</v>
      </c>
      <c r="I11" s="40"/>
      <c r="K11" s="40" t="s">
        <v>6</v>
      </c>
      <c r="L11" s="40" t="s">
        <v>41</v>
      </c>
      <c r="M11" s="40"/>
      <c r="N11" s="40" t="s">
        <v>42</v>
      </c>
      <c r="O11" s="40"/>
      <c r="P11" s="40"/>
      <c r="Q11" s="40" t="s">
        <v>9</v>
      </c>
      <c r="R11" s="40"/>
      <c r="S11" s="40"/>
      <c r="T11" s="40"/>
      <c r="U11" s="40"/>
      <c r="V11" s="7"/>
    </row>
    <row r="12" spans="2:22" ht="12.75" customHeight="1">
      <c r="B12" s="5"/>
      <c r="C12" s="25" t="s">
        <v>43</v>
      </c>
      <c r="D12" s="41"/>
      <c r="E12" s="41"/>
      <c r="F12" s="26"/>
      <c r="G12" s="26"/>
      <c r="H12" s="26">
        <f>IF(COUNT('Tangible Benefits'!$D$12,'Tangible Benefits'!$F$12)=2,'Tangible Benefits'!$D$12*'Tangible Benefits'!$F$12,"")</f>
        <v/>
      </c>
      <c r="I12" s="26"/>
      <c r="K12" s="25" t="s">
        <v>43</v>
      </c>
      <c r="L12" s="41"/>
      <c r="M12" s="41"/>
      <c r="N12" s="26"/>
      <c r="O12" s="26"/>
      <c r="P12" s="26"/>
      <c r="Q12" s="26">
        <f>IF(COUNT('Tangible Benefits'!$L$12,'Tangible Benefits'!$N$12)=2,'Tangible Benefits'!$L$12*'Tangible Benefits'!$N$12,"")</f>
        <v/>
      </c>
      <c r="R12" s="26"/>
      <c r="S12" s="26"/>
      <c r="T12" s="26"/>
      <c r="U12" s="26"/>
      <c r="V12" s="7"/>
    </row>
    <row r="13" spans="2:22" ht="12.75" customHeight="1">
      <c r="B13" s="5"/>
      <c r="C13" s="25" t="s">
        <v>44</v>
      </c>
      <c r="D13" s="41"/>
      <c r="E13" s="41"/>
      <c r="F13" s="26"/>
      <c r="G13" s="26"/>
      <c r="H13" s="26">
        <f>IF(COUNT('Tangible Benefits'!$D$13,'Tangible Benefits'!$F$13)=2,'Tangible Benefits'!$D$13*'Tangible Benefits'!$F$13,"")</f>
        <v/>
      </c>
      <c r="I13" s="26"/>
      <c r="K13" s="25" t="s">
        <v>44</v>
      </c>
      <c r="L13" s="41"/>
      <c r="M13" s="41"/>
      <c r="N13" s="26"/>
      <c r="O13" s="26"/>
      <c r="P13" s="26"/>
      <c r="Q13" s="26">
        <f>IF(COUNT('Tangible Benefits'!$L$13,'Tangible Benefits'!$N$13)=2,'Tangible Benefits'!$L$13*'Tangible Benefits'!$N$13,"")</f>
        <v/>
      </c>
      <c r="R13" s="26"/>
      <c r="S13" s="26"/>
      <c r="T13" s="26"/>
      <c r="U13" s="26"/>
      <c r="V13" s="7"/>
    </row>
    <row r="14" spans="2:22" ht="12.75" customHeight="1">
      <c r="B14" s="5"/>
      <c r="C14" s="25" t="s">
        <v>45</v>
      </c>
      <c r="D14" s="41"/>
      <c r="E14" s="41"/>
      <c r="F14" s="26"/>
      <c r="G14" s="26"/>
      <c r="H14" s="26">
        <f>IF(COUNT('Tangible Benefits'!$D$14,'Tangible Benefits'!$F$14)=2,'Tangible Benefits'!$D$14*'Tangible Benefits'!$F$14,"")</f>
        <v/>
      </c>
      <c r="I14" s="26"/>
      <c r="K14" s="25" t="s">
        <v>45</v>
      </c>
      <c r="L14" s="41"/>
      <c r="M14" s="41"/>
      <c r="N14" s="26"/>
      <c r="O14" s="26"/>
      <c r="P14" s="26"/>
      <c r="Q14" s="26">
        <f>IF(COUNT('Tangible Benefits'!$L$14,'Tangible Benefits'!$N$14)=2,'Tangible Benefits'!$L$14*'Tangible Benefits'!$N$14,"")</f>
        <v/>
      </c>
      <c r="R14" s="26"/>
      <c r="S14" s="26"/>
      <c r="T14" s="26"/>
      <c r="U14" s="26"/>
      <c r="V14" s="7"/>
    </row>
    <row r="15" spans="2:22" ht="12.75" customHeight="1">
      <c r="B15" s="5"/>
      <c r="C15" s="25" t="s">
        <v>46</v>
      </c>
      <c r="D15" s="41"/>
      <c r="E15" s="41"/>
      <c r="F15" s="26"/>
      <c r="G15" s="26"/>
      <c r="H15" s="26">
        <f>IF(COUNT('Tangible Benefits'!$D$15,'Tangible Benefits'!$F$15)=2,'Tangible Benefits'!$D$15*'Tangible Benefits'!$F$15,"")</f>
        <v/>
      </c>
      <c r="I15" s="26"/>
      <c r="K15" s="25" t="s">
        <v>47</v>
      </c>
      <c r="L15" s="41"/>
      <c r="M15" s="41"/>
      <c r="N15" s="26"/>
      <c r="O15" s="26"/>
      <c r="P15" s="26"/>
      <c r="Q15" s="26">
        <f>IF(COUNT('Tangible Benefits'!$L$15,'Tangible Benefits'!$N$15)=2,'Tangible Benefits'!$L$15*'Tangible Benefits'!$N$15,"")</f>
        <v/>
      </c>
      <c r="R15" s="26"/>
      <c r="S15" s="26"/>
      <c r="T15" s="26"/>
      <c r="U15" s="26"/>
      <c r="V15" s="7"/>
    </row>
    <row r="16" spans="2:22" ht="12.75" customHeight="1">
      <c r="B16" s="5"/>
      <c r="C16" s="25" t="s">
        <v>47</v>
      </c>
      <c r="D16" s="41"/>
      <c r="E16" s="41"/>
      <c r="F16" s="26"/>
      <c r="G16" s="26"/>
      <c r="H16" s="26">
        <f>IF(COUNT('Tangible Benefits'!$D$16,'Tangible Benefits'!$F$16)=2,'Tangible Benefits'!$D$16*'Tangible Benefits'!$F$16,"")</f>
        <v/>
      </c>
      <c r="I16" s="26"/>
      <c r="K16" s="25" t="s">
        <v>51</v>
      </c>
      <c r="L16" s="41"/>
      <c r="M16" s="41"/>
      <c r="N16" s="26"/>
      <c r="O16" s="26"/>
      <c r="P16" s="26"/>
      <c r="Q16" s="26">
        <f>IF(COUNT('Tangible Benefits'!$L$16,'Tangible Benefits'!$N$16)=2,'Tangible Benefits'!$L$16*'Tangible Benefits'!$N$16,"")</f>
        <v/>
      </c>
      <c r="R16" s="26"/>
      <c r="S16" s="26"/>
      <c r="T16" s="26"/>
      <c r="U16" s="26"/>
      <c r="V16" s="7"/>
    </row>
    <row r="17" spans="2:22" ht="12.75" customHeight="1">
      <c r="B17" s="5"/>
      <c r="C17" s="25" t="s">
        <v>48</v>
      </c>
      <c r="D17" s="41"/>
      <c r="E17" s="41"/>
      <c r="F17" s="26"/>
      <c r="G17" s="26"/>
      <c r="H17" s="26">
        <f>IF(COUNT('Tangible Benefits'!$D$17,'Tangible Benefits'!$F$17)=2,'Tangible Benefits'!$D$17*'Tangible Benefits'!$F$17,"")</f>
        <v/>
      </c>
      <c r="I17" s="26"/>
      <c r="K17" s="25" t="s">
        <v>49</v>
      </c>
      <c r="L17" s="41"/>
      <c r="M17" s="41"/>
      <c r="N17" s="26"/>
      <c r="O17" s="26"/>
      <c r="P17" s="26"/>
      <c r="Q17" s="26">
        <f>IF(COUNT('Tangible Benefits'!$L$17,'Tangible Benefits'!$N$17)=2,'Tangible Benefits'!$L$17*'Tangible Benefits'!$N$17,"")</f>
        <v/>
      </c>
      <c r="R17" s="26"/>
      <c r="S17" s="26"/>
      <c r="T17" s="26"/>
      <c r="U17" s="26"/>
      <c r="V17" s="7"/>
    </row>
    <row r="18" spans="2:22" ht="12.75" customHeight="1">
      <c r="B18" s="5"/>
      <c r="C18" s="25" t="s">
        <v>49</v>
      </c>
      <c r="D18" s="41"/>
      <c r="E18" s="41"/>
      <c r="F18" s="26"/>
      <c r="G18" s="26"/>
      <c r="H18" s="26">
        <f>IF(COUNT('Tangible Benefits'!$D$18,'Tangible Benefits'!$F$18)=2,'Tangible Benefits'!$D$18*'Tangible Benefits'!$F$18,"")</f>
        <v/>
      </c>
      <c r="I18" s="26"/>
      <c r="V18" s="7"/>
    </row>
    <row r="19" spans="2:22">
      <c r="B19" s="5"/>
      <c r="C19" s="42" t="s">
        <v>14</v>
      </c>
      <c r="D19" s="42"/>
      <c r="E19" s="42"/>
      <c r="F19" s="42"/>
      <c r="G19" s="42"/>
      <c r="H19" s="43">
        <f>IF(COUNT('Tangible Benefits'!$H$12,'Tangible Benefits'!$H$13,'Tangible Benefits'!$H$14,'Tangible Benefits'!$H$15,'Tangible Benefits'!$H$16,'Tangible Benefits'!$H$17,'Tangible Benefits'!$H$18)=7,SUM('Tangible Benefits'!$H$12,'Tangible Benefits'!$H$13,'Tangible Benefits'!$H$14,'Tangible Benefits'!$H$15,'Tangible Benefits'!$H$16,'Tangible Benefits'!$H$17,'Tangible Benefits'!$H$18),"")</f>
        <v/>
      </c>
      <c r="I19" s="43"/>
      <c r="K19" s="42" t="s">
        <v>14</v>
      </c>
      <c r="L19" s="42"/>
      <c r="M19" s="42"/>
      <c r="N19" s="42"/>
      <c r="O19" s="42"/>
      <c r="P19" s="42"/>
      <c r="Q19" s="43">
        <f>IF(COUNT('Tangible Benefits'!$Q$12,'Tangible Benefits'!$Q$13,'Tangible Benefits'!$Q$14,'Tangible Benefits'!$Q$15,'Tangible Benefits'!$Q$16,'Tangible Benefits'!$Q$17)=6,SUM('Tangible Benefits'!$Q$12,'Tangible Benefits'!$Q$13,'Tangible Benefits'!$Q$14,'Tangible Benefits'!$Q$15,'Tangible Benefits'!$Q$16,'Tangible Benefits'!$Q$17),"")</f>
        <v/>
      </c>
      <c r="R19" s="43"/>
      <c r="S19" s="43"/>
      <c r="T19" s="43"/>
      <c r="U19" s="43"/>
      <c r="V19" s="7"/>
    </row>
    <row r="20" spans="2:22" ht="3" customHeight="1">
      <c r="B20" s="5"/>
      <c r="V20" s="7"/>
    </row>
    <row r="21" spans="2:22">
      <c r="B21" s="5"/>
      <c r="C21" s="44" t="s">
        <v>52</v>
      </c>
      <c r="D21" s="44"/>
      <c r="E21" s="44"/>
      <c r="F21" s="44"/>
      <c r="G21" s="44"/>
      <c r="H21" s="44"/>
      <c r="I21" s="44"/>
      <c r="J21" s="44"/>
      <c r="K21" s="44"/>
      <c r="L21" s="44"/>
      <c r="M21" s="44"/>
      <c r="N21" s="44"/>
      <c r="O21" s="44"/>
      <c r="P21" s="44"/>
      <c r="Q21" s="44"/>
      <c r="R21" s="44"/>
      <c r="S21" s="44"/>
      <c r="T21" s="44"/>
      <c r="U21" s="44"/>
      <c r="V21" s="7"/>
    </row>
    <row r="22" spans="2:22" ht="15.75" customHeight="1">
      <c r="B22" s="5"/>
      <c r="C22" s="45" t="s">
        <v>53</v>
      </c>
      <c r="D22" s="45"/>
      <c r="E22" s="45"/>
      <c r="F22" s="45"/>
      <c r="G22" s="45"/>
      <c r="H22" s="45"/>
      <c r="I22" s="45"/>
      <c r="J22" s="45"/>
      <c r="K22" s="45"/>
      <c r="L22" s="45"/>
      <c r="M22" s="45"/>
      <c r="N22" s="45"/>
      <c r="O22" s="45"/>
      <c r="P22" s="46">
        <f>IF(COUNT('Tangible Benefits'!$H$19,'Tangible Benefits'!$Q$19)=2,'Tangible Benefits'!$H$19-'Tangible Benefits'!$Q$19,"")</f>
        <v/>
      </c>
      <c r="Q22" s="46"/>
      <c r="R22" s="46"/>
      <c r="S22" s="46"/>
      <c r="T22" s="46"/>
      <c r="U22" s="46"/>
      <c r="V22" s="7"/>
    </row>
    <row r="23" spans="2:22" ht="9.75" customHeight="1">
      <c r="B23" s="5"/>
      <c r="V23" s="7"/>
    </row>
    <row r="24" spans="2:22">
      <c r="B24" s="5"/>
      <c r="C24" s="38" t="s">
        <v>54</v>
      </c>
      <c r="D24" s="38"/>
      <c r="E24" s="38"/>
      <c r="F24" s="38"/>
      <c r="G24" s="38"/>
      <c r="H24" s="38"/>
      <c r="I24" s="38"/>
      <c r="J24" s="38"/>
      <c r="K24" s="38"/>
      <c r="L24" s="38"/>
      <c r="M24" s="38"/>
      <c r="N24" s="38"/>
      <c r="O24" s="38"/>
      <c r="P24" s="38"/>
      <c r="Q24" s="38"/>
      <c r="R24" s="38"/>
      <c r="S24" s="38"/>
      <c r="T24" s="38"/>
      <c r="U24" s="38"/>
      <c r="V24" s="7"/>
    </row>
    <row r="25" spans="2:22" ht="3.75" customHeight="1">
      <c r="B25" s="5"/>
      <c r="V25" s="7"/>
    </row>
    <row r="26" spans="2:22" ht="12.75" customHeight="1">
      <c r="B26" s="5"/>
      <c r="C26" s="47" t="s">
        <v>40</v>
      </c>
      <c r="D26" s="47"/>
      <c r="E26" s="47"/>
      <c r="F26" s="47"/>
      <c r="G26" s="47"/>
      <c r="H26" s="47"/>
      <c r="K26" s="47" t="s">
        <v>50</v>
      </c>
      <c r="L26" s="47"/>
      <c r="M26" s="47"/>
      <c r="N26" s="47"/>
      <c r="O26" s="47"/>
      <c r="P26" s="47"/>
      <c r="Q26" s="47"/>
      <c r="R26" s="47"/>
      <c r="S26" s="47"/>
      <c r="T26" s="47"/>
      <c r="V26" s="7"/>
    </row>
    <row r="27" spans="2:22" ht="24.75" customHeight="1">
      <c r="B27" s="5"/>
      <c r="C27" s="24" t="s">
        <v>55</v>
      </c>
      <c r="D27" s="24"/>
      <c r="E27" s="24" t="s">
        <v>56</v>
      </c>
      <c r="F27" s="24"/>
      <c r="G27" s="24" t="s">
        <v>57</v>
      </c>
      <c r="H27" s="24"/>
      <c r="K27" s="24" t="s">
        <v>55</v>
      </c>
      <c r="L27" s="24"/>
      <c r="M27" s="24" t="s">
        <v>56</v>
      </c>
      <c r="N27" s="24"/>
      <c r="O27" s="24" t="s">
        <v>57</v>
      </c>
      <c r="P27" s="24"/>
      <c r="Q27" s="24"/>
      <c r="R27" s="24"/>
      <c r="S27" s="24"/>
      <c r="T27" s="24"/>
      <c r="V27" s="7"/>
    </row>
    <row r="28" spans="2:22">
      <c r="B28" s="5"/>
      <c r="C28" s="48" t="s">
        <v>58</v>
      </c>
      <c r="D28" s="48"/>
      <c r="E28" s="49"/>
      <c r="F28" s="49"/>
      <c r="G28" s="49">
        <f>IF(ISNUMBER('Tangible Benefits'!$E$28),'Tangible Benefits'!$E$28*12,"")</f>
        <v/>
      </c>
      <c r="H28" s="49"/>
      <c r="K28" s="48" t="s">
        <v>58</v>
      </c>
      <c r="L28" s="48"/>
      <c r="M28" s="49"/>
      <c r="N28" s="49"/>
      <c r="O28" s="49">
        <f>IF(ISNUMBER('Tangible Benefits'!$M$28),'Tangible Benefits'!$M$28*12,"")</f>
        <v/>
      </c>
      <c r="P28" s="49"/>
      <c r="Q28" s="49"/>
      <c r="R28" s="49"/>
      <c r="S28" s="49"/>
      <c r="T28" s="49"/>
      <c r="V28" s="7"/>
    </row>
    <row r="29" spans="2:22">
      <c r="B29" s="5"/>
      <c r="C29" s="48" t="s">
        <v>59</v>
      </c>
      <c r="D29" s="48"/>
      <c r="E29" s="49"/>
      <c r="F29" s="49"/>
      <c r="G29" s="49">
        <f>IF(ISNUMBER('Tangible Benefits'!$E$29),'Tangible Benefits'!$E$29*12,"")</f>
        <v/>
      </c>
      <c r="H29" s="49"/>
      <c r="K29" s="48" t="s">
        <v>59</v>
      </c>
      <c r="L29" s="48"/>
      <c r="M29" s="49"/>
      <c r="N29" s="49"/>
      <c r="O29" s="49">
        <f>IF(ISNUMBER('Tangible Benefits'!$M$29),'Tangible Benefits'!$M$29*12,"")</f>
        <v/>
      </c>
      <c r="P29" s="49"/>
      <c r="Q29" s="49"/>
      <c r="R29" s="49"/>
      <c r="S29" s="49"/>
      <c r="T29" s="49"/>
      <c r="V29" s="7"/>
    </row>
    <row r="30" spans="2:22">
      <c r="B30" s="5"/>
      <c r="C30" s="48" t="s">
        <v>60</v>
      </c>
      <c r="D30" s="48"/>
      <c r="E30" s="49"/>
      <c r="F30" s="49"/>
      <c r="G30" s="49">
        <f>IF(ISNUMBER('Tangible Benefits'!$E$30),'Tangible Benefits'!$E$30*12,"")</f>
        <v/>
      </c>
      <c r="H30" s="49"/>
      <c r="K30" s="48" t="s">
        <v>60</v>
      </c>
      <c r="L30" s="48"/>
      <c r="M30" s="49"/>
      <c r="N30" s="49"/>
      <c r="O30" s="49">
        <f>IF(ISNUMBER('Tangible Benefits'!$M$30),'Tangible Benefits'!$M$30*12,"")</f>
        <v/>
      </c>
      <c r="P30" s="49"/>
      <c r="Q30" s="49"/>
      <c r="R30" s="49"/>
      <c r="S30" s="49"/>
      <c r="T30" s="49"/>
      <c r="V30" s="7"/>
    </row>
    <row r="31" spans="2:22">
      <c r="B31" s="5"/>
      <c r="C31" s="19" t="s">
        <v>14</v>
      </c>
      <c r="D31" s="19"/>
      <c r="E31" s="19"/>
      <c r="F31" s="19"/>
      <c r="G31" s="20">
        <f>IF(COUNT('Tangible Benefits'!$G$28,'Tangible Benefits'!$G$29,'Tangible Benefits'!$G$30)=3,SUM('Tangible Benefits'!$G$28,'Tangible Benefits'!$G$29,'Tangible Benefits'!$G$30),"")</f>
        <v/>
      </c>
      <c r="H31" s="20"/>
      <c r="K31" s="19" t="s">
        <v>14</v>
      </c>
      <c r="L31" s="19"/>
      <c r="M31" s="19"/>
      <c r="N31" s="19"/>
      <c r="O31" s="20">
        <f>IF(COUNT('Tangible Benefits'!$O$28,'Tangible Benefits'!$O$29,'Tangible Benefits'!$O$30)=3,SUM('Tangible Benefits'!$O$28,'Tangible Benefits'!$O$29,'Tangible Benefits'!$O$30),"")</f>
        <v/>
      </c>
      <c r="P31" s="20"/>
      <c r="Q31" s="20"/>
      <c r="R31" s="20"/>
      <c r="S31" s="20"/>
      <c r="T31" s="20"/>
      <c r="V31" s="7"/>
    </row>
    <row r="32" spans="2:22" ht="6.75" customHeight="1">
      <c r="B32" s="5"/>
      <c r="V32" s="7"/>
    </row>
    <row r="33" spans="2:22" ht="14.25" customHeight="1">
      <c r="B33" s="5"/>
      <c r="C33" s="44" t="s">
        <v>61</v>
      </c>
      <c r="D33" s="44"/>
      <c r="E33" s="44"/>
      <c r="F33" s="44"/>
      <c r="G33" s="44"/>
      <c r="H33" s="44"/>
      <c r="I33" s="44"/>
      <c r="J33" s="44"/>
      <c r="K33" s="44"/>
      <c r="L33" s="44"/>
      <c r="M33" s="44"/>
      <c r="N33" s="44"/>
      <c r="O33" s="44"/>
      <c r="P33" s="44"/>
      <c r="Q33" s="44"/>
      <c r="R33" s="44"/>
      <c r="S33" s="44"/>
      <c r="T33" s="44"/>
      <c r="U33" s="44"/>
      <c r="V33" s="7"/>
    </row>
    <row r="34" spans="2:22">
      <c r="B34" s="5"/>
      <c r="C34" s="45" t="s">
        <v>62</v>
      </c>
      <c r="D34" s="45"/>
      <c r="E34" s="45"/>
      <c r="F34" s="45"/>
      <c r="G34" s="45"/>
      <c r="H34" s="45"/>
      <c r="I34" s="45"/>
      <c r="J34" s="45"/>
      <c r="K34" s="45"/>
      <c r="L34" s="45"/>
      <c r="M34" s="45"/>
      <c r="N34" s="45"/>
      <c r="O34" s="45"/>
      <c r="P34" s="46">
        <f>IF(COUNT('Tangible Benefits'!$G$31,'Tangible Benefits'!$O$31)=2,'Tangible Benefits'!$G$31-'Tangible Benefits'!$O$31,"")</f>
        <v/>
      </c>
      <c r="Q34" s="46"/>
      <c r="R34" s="46"/>
      <c r="S34" s="46"/>
      <c r="T34" s="46"/>
      <c r="U34" s="46"/>
      <c r="V34" s="7"/>
    </row>
    <row r="35" spans="2:22" ht="3.75" customHeight="1">
      <c r="B35" s="5"/>
      <c r="V35" s="7"/>
    </row>
    <row r="36" spans="2:22" ht="12" customHeight="1">
      <c r="B36" s="5"/>
      <c r="C36" s="44" t="s">
        <v>63</v>
      </c>
      <c r="D36" s="44"/>
      <c r="E36" s="44"/>
      <c r="F36" s="44"/>
      <c r="G36" s="44"/>
      <c r="H36" s="44"/>
      <c r="I36" s="44"/>
      <c r="J36" s="44"/>
      <c r="K36" s="44"/>
      <c r="L36" s="44"/>
      <c r="M36" s="44"/>
      <c r="N36" s="44"/>
      <c r="O36" s="44"/>
      <c r="P36" s="44"/>
      <c r="Q36" s="44"/>
      <c r="R36" s="44"/>
      <c r="S36" s="44"/>
      <c r="T36" s="44"/>
      <c r="U36" s="44"/>
      <c r="V36" s="7"/>
    </row>
    <row r="37" spans="2:22" ht="12" customHeight="1">
      <c r="B37" s="5"/>
      <c r="C37" s="45" t="s">
        <v>64</v>
      </c>
      <c r="D37" s="45"/>
      <c r="E37" s="45"/>
      <c r="F37" s="45"/>
      <c r="G37" s="45"/>
      <c r="H37" s="45"/>
      <c r="I37" s="45"/>
      <c r="J37" s="45"/>
      <c r="K37" s="45"/>
      <c r="L37" s="45"/>
      <c r="M37" s="45"/>
      <c r="N37" s="45"/>
      <c r="O37" s="45"/>
      <c r="P37" s="46">
        <f>IF(COUNT('Tangible Benefits'!$P$34,'Tangible Benefits'!$P$22)=2,SUM('Tangible Benefits'!$P$34,'Tangible Benefits'!$P$22),"")</f>
        <v/>
      </c>
      <c r="Q37" s="46"/>
      <c r="R37" s="46"/>
      <c r="S37" s="46"/>
      <c r="T37" s="46"/>
      <c r="U37" s="46"/>
      <c r="V37" s="7"/>
    </row>
    <row r="38" spans="2:22" ht="2.25" customHeight="1">
      <c r="B38" s="28"/>
      <c r="C38" s="29"/>
      <c r="D38" s="29"/>
      <c r="E38" s="29"/>
      <c r="F38" s="29"/>
      <c r="G38" s="29"/>
      <c r="H38" s="29"/>
      <c r="I38" s="29"/>
      <c r="J38" s="29"/>
      <c r="K38" s="29"/>
      <c r="L38" s="29"/>
      <c r="M38" s="29"/>
      <c r="N38" s="29"/>
      <c r="O38" s="29"/>
      <c r="P38" s="29"/>
      <c r="Q38" s="29"/>
      <c r="R38" s="29"/>
      <c r="S38" s="29"/>
      <c r="T38" s="29"/>
      <c r="U38" s="29"/>
      <c r="V38" s="30"/>
    </row>
    <row r="39" spans="2:22" ht="20.25" customHeight="1"/>
    <row r="40" spans="2:22" ht="69" customHeight="1">
      <c r="B40" s="9" t="s">
        <v>65</v>
      </c>
      <c r="C40" s="9"/>
      <c r="D40" s="9"/>
      <c r="E40" s="9"/>
      <c r="F40" s="9"/>
      <c r="G40" s="9"/>
      <c r="H40" s="9"/>
      <c r="I40" s="9"/>
      <c r="J40" s="9"/>
      <c r="K40" s="9"/>
      <c r="L40" s="9"/>
      <c r="M40" s="9"/>
      <c r="N40" s="9"/>
      <c r="O40" s="9"/>
      <c r="P40" s="9"/>
      <c r="Q40" s="9"/>
      <c r="R40" s="9"/>
      <c r="S40" s="9"/>
      <c r="T40" s="9"/>
      <c r="U40" s="9"/>
      <c r="V40" s="9"/>
    </row>
    <row r="41" spans="2:22" ht="17.25" customHeight="1"/>
    <row r="42" spans="2:22" ht="59.25" customHeight="1">
      <c r="B42" s="8" t="s">
        <v>66</v>
      </c>
      <c r="C42" s="8"/>
      <c r="D42" s="8"/>
      <c r="E42" s="8"/>
      <c r="F42" s="8"/>
      <c r="G42" s="8"/>
      <c r="H42" s="8"/>
      <c r="I42" s="8"/>
      <c r="J42" s="8"/>
      <c r="K42" s="8"/>
      <c r="L42" s="8"/>
      <c r="M42" s="8"/>
      <c r="N42" s="8"/>
      <c r="O42" s="8"/>
      <c r="P42" s="8"/>
      <c r="Q42" s="8"/>
      <c r="R42" s="8"/>
      <c r="S42" s="8"/>
      <c r="T42" s="8"/>
      <c r="U42" s="8"/>
      <c r="V42" s="8"/>
    </row>
    <row r="43" spans="2:22" ht="135" customHeight="1"/>
    <row r="44" spans="2:22" ht="14.25" customHeight="1">
      <c r="B44" s="32" t="s">
        <v>1</v>
      </c>
      <c r="C44" s="32"/>
      <c r="D44" s="32"/>
      <c r="E44" s="32"/>
      <c r="F44" s="32"/>
      <c r="G44" s="32"/>
      <c r="H44" s="32"/>
      <c r="I44" s="32"/>
      <c r="J44" s="32"/>
      <c r="K44" s="32"/>
      <c r="L44" s="32"/>
      <c r="M44" s="32"/>
      <c r="N44" s="32"/>
      <c r="O44" s="32"/>
      <c r="P44" s="32"/>
      <c r="Q44" s="32"/>
      <c r="S44" s="33" t="s">
        <v>37</v>
      </c>
      <c r="T44" s="33"/>
      <c r="U44" s="33"/>
      <c r="V44" s="33"/>
    </row>
    <row r="45" spans="2:22" ht="27" customHeight="1"/>
  </sheetData>
  <mergeCells count="99">
    <mergeCell ref="B2:V2"/>
    <mergeCell ref="C4:S4"/>
    <mergeCell ref="B44:Q44"/>
    <mergeCell ref="S44:V44"/>
    <mergeCell ref="C7:U7"/>
    <mergeCell ref="C8:U8"/>
    <mergeCell ref="C10:I10"/>
    <mergeCell ref="D11:E11"/>
    <mergeCell ref="F11:G11"/>
    <mergeCell ref="H11:I11"/>
    <mergeCell ref="D12:E12"/>
    <mergeCell ref="F12:G12"/>
    <mergeCell ref="H12:I12"/>
    <mergeCell ref="D13:E13"/>
    <mergeCell ref="F13:G13"/>
    <mergeCell ref="H13:I13"/>
    <mergeCell ref="D14:E14"/>
    <mergeCell ref="F14:G14"/>
    <mergeCell ref="H14:I14"/>
    <mergeCell ref="D15:E15"/>
    <mergeCell ref="F15:G15"/>
    <mergeCell ref="H15:I15"/>
    <mergeCell ref="D16:E16"/>
    <mergeCell ref="F16:G16"/>
    <mergeCell ref="H16:I16"/>
    <mergeCell ref="D17:E17"/>
    <mergeCell ref="F17:G17"/>
    <mergeCell ref="H17:I17"/>
    <mergeCell ref="D18:E18"/>
    <mergeCell ref="F18:G18"/>
    <mergeCell ref="H18:I18"/>
    <mergeCell ref="C19:G19"/>
    <mergeCell ref="H19:I19"/>
    <mergeCell ref="K10:U10"/>
    <mergeCell ref="L11:M11"/>
    <mergeCell ref="N11:P11"/>
    <mergeCell ref="Q11:U11"/>
    <mergeCell ref="L12:M12"/>
    <mergeCell ref="N12:P12"/>
    <mergeCell ref="Q12:U12"/>
    <mergeCell ref="L13:M13"/>
    <mergeCell ref="N13:P13"/>
    <mergeCell ref="Q13:U13"/>
    <mergeCell ref="L14:M14"/>
    <mergeCell ref="N14:P14"/>
    <mergeCell ref="Q14:U14"/>
    <mergeCell ref="L15:M15"/>
    <mergeCell ref="N15:P15"/>
    <mergeCell ref="Q15:U15"/>
    <mergeCell ref="L16:M16"/>
    <mergeCell ref="N16:P16"/>
    <mergeCell ref="Q16:U16"/>
    <mergeCell ref="L17:M17"/>
    <mergeCell ref="N17:P17"/>
    <mergeCell ref="Q17:U17"/>
    <mergeCell ref="K19:P19"/>
    <mergeCell ref="Q19:U19"/>
    <mergeCell ref="C21:U21"/>
    <mergeCell ref="C22:O22"/>
    <mergeCell ref="P22:U22"/>
    <mergeCell ref="C24:U24"/>
    <mergeCell ref="C26:H26"/>
    <mergeCell ref="C27:D27"/>
    <mergeCell ref="E27:F27"/>
    <mergeCell ref="G27:H27"/>
    <mergeCell ref="C28:D28"/>
    <mergeCell ref="E28:F28"/>
    <mergeCell ref="G28:H28"/>
    <mergeCell ref="C29:D29"/>
    <mergeCell ref="E29:F29"/>
    <mergeCell ref="G29:H29"/>
    <mergeCell ref="C30:D30"/>
    <mergeCell ref="E30:F30"/>
    <mergeCell ref="G30:H30"/>
    <mergeCell ref="C31:F31"/>
    <mergeCell ref="G31:H31"/>
    <mergeCell ref="K26:T26"/>
    <mergeCell ref="K27:L27"/>
    <mergeCell ref="M27:N27"/>
    <mergeCell ref="O27:T27"/>
    <mergeCell ref="K28:L28"/>
    <mergeCell ref="M28:N28"/>
    <mergeCell ref="O28:T28"/>
    <mergeCell ref="K29:L29"/>
    <mergeCell ref="M29:N29"/>
    <mergeCell ref="O29:T29"/>
    <mergeCell ref="K30:L30"/>
    <mergeCell ref="M30:N30"/>
    <mergeCell ref="O30:T30"/>
    <mergeCell ref="K31:N31"/>
    <mergeCell ref="O31:T31"/>
    <mergeCell ref="C33:U33"/>
    <mergeCell ref="C34:O34"/>
    <mergeCell ref="P34:U34"/>
    <mergeCell ref="C36:U36"/>
    <mergeCell ref="C37:O37"/>
    <mergeCell ref="P37:U37"/>
    <mergeCell ref="B40:V40"/>
    <mergeCell ref="B42:V42"/>
  </mergeCells>
  <dataValidations count="32">
    <dataValidation type="decimal" operator="greaterThanOrEqual" allowBlank="1" showInputMessage="1" showErrorMessage="1" error="Enter a documented non-negative number or leave blank." sqref="D12:E12">
      <formula1>0</formula1>
    </dataValidation>
    <dataValidation type="decimal" operator="greaterThanOrEqual" allowBlank="1" showInputMessage="1" showErrorMessage="1" error="Enter a documented non-negative number or leave blank." sqref="F12:G12">
      <formula1>0</formula1>
    </dataValidation>
    <dataValidation type="decimal" operator="greaterThanOrEqual" allowBlank="1" showInputMessage="1" showErrorMessage="1" error="Enter a documented non-negative number or leave blank." sqref="D13:E13">
      <formula1>0</formula1>
    </dataValidation>
    <dataValidation type="decimal" operator="greaterThanOrEqual" allowBlank="1" showInputMessage="1" showErrorMessage="1" error="Enter a documented non-negative number or leave blank." sqref="F13:G13">
      <formula1>0</formula1>
    </dataValidation>
    <dataValidation type="decimal" operator="greaterThanOrEqual" allowBlank="1" showInputMessage="1" showErrorMessage="1" error="Enter a documented non-negative number or leave blank." sqref="D14:E14">
      <formula1>0</formula1>
    </dataValidation>
    <dataValidation type="decimal" operator="greaterThanOrEqual" allowBlank="1" showInputMessage="1" showErrorMessage="1" error="Enter a documented non-negative number or leave blank." sqref="F14:G14">
      <formula1>0</formula1>
    </dataValidation>
    <dataValidation type="decimal" operator="greaterThanOrEqual" allowBlank="1" showInputMessage="1" showErrorMessage="1" error="Enter a documented non-negative number or leave blank." sqref="D15:E15">
      <formula1>0</formula1>
    </dataValidation>
    <dataValidation type="decimal" operator="greaterThanOrEqual" allowBlank="1" showInputMessage="1" showErrorMessage="1" error="Enter a documented non-negative number or leave blank." sqref="F15:G15">
      <formula1>0</formula1>
    </dataValidation>
    <dataValidation type="decimal" operator="greaterThanOrEqual" allowBlank="1" showInputMessage="1" showErrorMessage="1" error="Enter a documented non-negative number or leave blank." sqref="D16:E16">
      <formula1>0</formula1>
    </dataValidation>
    <dataValidation type="decimal" operator="greaterThanOrEqual" allowBlank="1" showInputMessage="1" showErrorMessage="1" error="Enter a documented non-negative number or leave blank." sqref="F16:G16">
      <formula1>0</formula1>
    </dataValidation>
    <dataValidation type="decimal" operator="greaterThanOrEqual" allowBlank="1" showInputMessage="1" showErrorMessage="1" error="Enter a documented non-negative number or leave blank." sqref="D17:E17">
      <formula1>0</formula1>
    </dataValidation>
    <dataValidation type="decimal" operator="greaterThanOrEqual" allowBlank="1" showInputMessage="1" showErrorMessage="1" error="Enter a documented non-negative number or leave blank." sqref="F17:G17">
      <formula1>0</formula1>
    </dataValidation>
    <dataValidation type="decimal" operator="greaterThanOrEqual" allowBlank="1" showInputMessage="1" showErrorMessage="1" error="Enter a documented non-negative number or leave blank." sqref="D18:E18">
      <formula1>0</formula1>
    </dataValidation>
    <dataValidation type="decimal" operator="greaterThanOrEqual" allowBlank="1" showInputMessage="1" showErrorMessage="1" error="Enter a documented non-negative number or leave blank." sqref="F18:G18">
      <formula1>0</formula1>
    </dataValidation>
    <dataValidation type="decimal" operator="greaterThanOrEqual" allowBlank="1" showInputMessage="1" showErrorMessage="1" error="Enter a documented non-negative number or leave blank." sqref="L12:M12">
      <formula1>0</formula1>
    </dataValidation>
    <dataValidation type="decimal" operator="greaterThanOrEqual" allowBlank="1" showInputMessage="1" showErrorMessage="1" error="Enter a documented non-negative number or leave blank." sqref="N12:P12">
      <formula1>0</formula1>
    </dataValidation>
    <dataValidation type="decimal" operator="greaterThanOrEqual" allowBlank="1" showInputMessage="1" showErrorMessage="1" error="Enter a documented non-negative number or leave blank." sqref="L13:M13">
      <formula1>0</formula1>
    </dataValidation>
    <dataValidation type="decimal" operator="greaterThanOrEqual" allowBlank="1" showInputMessage="1" showErrorMessage="1" error="Enter a documented non-negative number or leave blank." sqref="N13:P13">
      <formula1>0</formula1>
    </dataValidation>
    <dataValidation type="decimal" operator="greaterThanOrEqual" allowBlank="1" showInputMessage="1" showErrorMessage="1" error="Enter a documented non-negative number or leave blank." sqref="L14:M14">
      <formula1>0</formula1>
    </dataValidation>
    <dataValidation type="decimal" operator="greaterThanOrEqual" allowBlank="1" showInputMessage="1" showErrorMessage="1" error="Enter a documented non-negative number or leave blank." sqref="N14:P14">
      <formula1>0</formula1>
    </dataValidation>
    <dataValidation type="decimal" operator="greaterThanOrEqual" allowBlank="1" showInputMessage="1" showErrorMessage="1" error="Enter a documented non-negative number or leave blank." sqref="L15:M15">
      <formula1>0</formula1>
    </dataValidation>
    <dataValidation type="decimal" operator="greaterThanOrEqual" allowBlank="1" showInputMessage="1" showErrorMessage="1" error="Enter a documented non-negative number or leave blank." sqref="N15:P15">
      <formula1>0</formula1>
    </dataValidation>
    <dataValidation type="decimal" operator="greaterThanOrEqual" allowBlank="1" showInputMessage="1" showErrorMessage="1" error="Enter a documented non-negative number or leave blank." sqref="L16:M16">
      <formula1>0</formula1>
    </dataValidation>
    <dataValidation type="decimal" operator="greaterThanOrEqual" allowBlank="1" showInputMessage="1" showErrorMessage="1" error="Enter a documented non-negative number or leave blank." sqref="N16:P16">
      <formula1>0</formula1>
    </dataValidation>
    <dataValidation type="decimal" operator="greaterThanOrEqual" allowBlank="1" showInputMessage="1" showErrorMessage="1" error="Enter a documented non-negative number or leave blank." sqref="L17:M17">
      <formula1>0</formula1>
    </dataValidation>
    <dataValidation type="decimal" operator="greaterThanOrEqual" allowBlank="1" showInputMessage="1" showErrorMessage="1" error="Enter a documented non-negative number or leave blank." sqref="N17:P17">
      <formula1>0</formula1>
    </dataValidation>
    <dataValidation type="decimal" operator="greaterThanOrEqual" allowBlank="1" showInputMessage="1" showErrorMessage="1" error="Enter a documented non-negative number or leave blank." sqref="E28:F28">
      <formula1>0</formula1>
    </dataValidation>
    <dataValidation type="decimal" operator="greaterThanOrEqual" allowBlank="1" showInputMessage="1" showErrorMessage="1" error="Enter a documented non-negative number or leave blank." sqref="E29:F29">
      <formula1>0</formula1>
    </dataValidation>
    <dataValidation type="decimal" operator="greaterThanOrEqual" allowBlank="1" showInputMessage="1" showErrorMessage="1" error="Enter a documented non-negative number or leave blank." sqref="E30:F30">
      <formula1>0</formula1>
    </dataValidation>
    <dataValidation type="decimal" operator="greaterThanOrEqual" allowBlank="1" showInputMessage="1" showErrorMessage="1" error="Enter a documented non-negative number or leave blank." sqref="M28:N28">
      <formula1>0</formula1>
    </dataValidation>
    <dataValidation type="decimal" operator="greaterThanOrEqual" allowBlank="1" showInputMessage="1" showErrorMessage="1" error="Enter a documented non-negative number or leave blank." sqref="M29:N29">
      <formula1>0</formula1>
    </dataValidation>
    <dataValidation type="decimal" operator="greaterThanOrEqual" allowBlank="1" showInputMessage="1" showErrorMessage="1" error="Enter a documented non-negative number or leave blank." sqref="M30:N30">
      <formula1>0</formula1>
    </dataValidation>
  </dataValidations>
  <pageMargins left="0" right="0" top="0" bottom="0" header="0.3" footer="0.3"/>
  <pageSetup paperSize="9" orientation="portrait"/>
  <legacyDrawing r:id="rId1"/>
</worksheet>
</file>

<file path=xl/worksheets/sheet4.xml><?xml version="1.0" encoding="utf-8"?>
<worksheet xmlns="http://schemas.openxmlformats.org/spreadsheetml/2006/main" xmlns:r="http://schemas.openxmlformats.org/officeDocument/2006/relationships">
  <sheetPr>
    <tabColor rgb="FFB5D6A4"/>
    <pageSetUpPr fitToPage="1"/>
  </sheetPr>
  <dimension ref="A1:H40"/>
  <sheetViews>
    <sheetView showGridLines="0" zoomScale="90" zoomScaleNormal="9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5.7109375" customWidth="1"/>
    <col min="2" max="2" width="7.42578125" customWidth="1"/>
    <col min="3" max="3" width="45.28515625" customWidth="1"/>
    <col min="4" max="4" width="7" customWidth="1"/>
    <col min="5" max="5" width="21" customWidth="1"/>
    <col min="6" max="6" width="12.5703125" customWidth="1"/>
    <col min="7" max="7" width="0.140625" customWidth="1"/>
    <col min="8" max="8" width="8.42578125" customWidth="1"/>
    <col min="9" max="9" width="5.7109375" customWidth="1"/>
  </cols>
  <sheetData>
    <row r="1" spans="2:8" ht="53.25" customHeight="1"/>
    <row r="2" spans="2:8" ht="29.25" customHeight="1">
      <c r="B2" s="50" t="s">
        <v>67</v>
      </c>
      <c r="C2" s="50"/>
      <c r="D2" s="50"/>
      <c r="E2" s="50"/>
      <c r="F2" s="50"/>
      <c r="G2" s="50"/>
      <c r="H2" s="50"/>
    </row>
    <row r="3" spans="2:8" ht="17.25" customHeight="1"/>
    <row r="4" spans="2:8" ht="35.25" customHeight="1">
      <c r="B4" s="51" t="s">
        <v>68</v>
      </c>
      <c r="C4" s="51" t="s">
        <v>69</v>
      </c>
      <c r="D4" s="51" t="s">
        <v>70</v>
      </c>
      <c r="E4" s="51" t="s">
        <v>71</v>
      </c>
      <c r="F4" s="51" t="s">
        <v>72</v>
      </c>
      <c r="G4" s="51"/>
      <c r="H4" s="51"/>
    </row>
    <row r="5" spans="2:8" ht="18" customHeight="1">
      <c r="B5" s="52">
        <v>1</v>
      </c>
      <c r="C5" s="52" t="s">
        <v>73</v>
      </c>
      <c r="D5" s="52">
        <v>19</v>
      </c>
      <c r="E5" s="52"/>
      <c r="F5" s="52"/>
      <c r="G5" s="52"/>
      <c r="H5" s="52"/>
    </row>
    <row r="6" spans="2:8" ht="18" customHeight="1">
      <c r="B6" s="53">
        <v>2</v>
      </c>
      <c r="C6" s="53" t="s">
        <v>74</v>
      </c>
      <c r="D6" s="53">
        <v>23</v>
      </c>
      <c r="E6" s="53">
        <v>42</v>
      </c>
      <c r="F6" s="53">
        <v>19</v>
      </c>
      <c r="G6" s="53"/>
      <c r="H6" s="53"/>
    </row>
    <row r="7" spans="2:8" ht="18" customHeight="1">
      <c r="B7" s="52">
        <v>3</v>
      </c>
      <c r="C7" s="52" t="s">
        <v>75</v>
      </c>
      <c r="D7" s="52">
        <v>13</v>
      </c>
      <c r="E7" s="52"/>
      <c r="F7" s="52"/>
      <c r="G7" s="52"/>
      <c r="H7" s="52"/>
    </row>
    <row r="8" spans="2:8" ht="18" customHeight="1">
      <c r="B8" s="53">
        <v>4</v>
      </c>
      <c r="C8" s="53" t="s">
        <v>76</v>
      </c>
      <c r="D8" s="53">
        <v>4</v>
      </c>
      <c r="E8" s="53"/>
      <c r="F8" s="53"/>
      <c r="G8" s="53"/>
      <c r="H8" s="53"/>
    </row>
    <row r="9" spans="2:8" ht="18" customHeight="1">
      <c r="B9" s="52">
        <v>5</v>
      </c>
      <c r="C9" s="52" t="s">
        <v>77</v>
      </c>
      <c r="D9" s="52">
        <v>4</v>
      </c>
      <c r="E9" s="52"/>
      <c r="F9" s="52"/>
      <c r="G9" s="52"/>
      <c r="H9" s="52"/>
    </row>
    <row r="10" spans="2:8" ht="18" customHeight="1">
      <c r="B10" s="53">
        <v>6</v>
      </c>
      <c r="C10" s="53" t="s">
        <v>78</v>
      </c>
      <c r="D10" s="53">
        <v>14</v>
      </c>
      <c r="E10" s="53"/>
      <c r="F10" s="53"/>
      <c r="G10" s="53"/>
      <c r="H10" s="53"/>
    </row>
    <row r="11" spans="2:8" ht="18" customHeight="1">
      <c r="B11" s="52">
        <v>7</v>
      </c>
      <c r="C11" s="52" t="s">
        <v>79</v>
      </c>
      <c r="D11" s="52">
        <v>5</v>
      </c>
      <c r="E11" s="52"/>
      <c r="F11" s="52"/>
      <c r="G11" s="52"/>
      <c r="H11" s="52"/>
    </row>
    <row r="12" spans="2:8" ht="18" customHeight="1">
      <c r="B12" s="53">
        <v>8</v>
      </c>
      <c r="C12" s="53" t="s">
        <v>80</v>
      </c>
      <c r="D12" s="53">
        <v>4</v>
      </c>
      <c r="E12" s="53"/>
      <c r="F12" s="53"/>
      <c r="G12" s="53"/>
      <c r="H12" s="53"/>
    </row>
    <row r="13" spans="2:8" ht="18" customHeight="1">
      <c r="B13" s="52">
        <v>9</v>
      </c>
      <c r="C13" s="52" t="s">
        <v>81</v>
      </c>
      <c r="D13" s="52">
        <v>3</v>
      </c>
      <c r="E13" s="52"/>
      <c r="F13" s="52"/>
      <c r="G13" s="52"/>
      <c r="H13" s="52"/>
    </row>
    <row r="14" spans="2:8" ht="18" customHeight="1">
      <c r="B14" s="53">
        <v>10</v>
      </c>
      <c r="C14" s="53" t="s">
        <v>82</v>
      </c>
      <c r="D14" s="53">
        <v>5</v>
      </c>
      <c r="E14" s="53"/>
      <c r="F14" s="53"/>
      <c r="G14" s="53"/>
      <c r="H14" s="53"/>
    </row>
    <row r="15" spans="2:8" ht="18" customHeight="1">
      <c r="B15" s="52">
        <v>11</v>
      </c>
      <c r="C15" s="52" t="s">
        <v>83</v>
      </c>
      <c r="D15" s="52">
        <v>2</v>
      </c>
      <c r="E15" s="52"/>
      <c r="F15" s="52"/>
      <c r="G15" s="52"/>
      <c r="H15" s="52"/>
    </row>
    <row r="16" spans="2:8" ht="18" customHeight="1">
      <c r="B16" s="53">
        <v>12</v>
      </c>
      <c r="C16" s="53" t="s">
        <v>84</v>
      </c>
      <c r="D16" s="53">
        <v>10</v>
      </c>
      <c r="E16" s="53"/>
      <c r="F16" s="53"/>
      <c r="G16" s="53"/>
      <c r="H16" s="53"/>
    </row>
    <row r="17" spans="2:8" ht="18" customHeight="1">
      <c r="B17" s="52">
        <v>13</v>
      </c>
      <c r="C17" s="52" t="s">
        <v>85</v>
      </c>
      <c r="D17" s="52">
        <v>8</v>
      </c>
      <c r="E17" s="52"/>
      <c r="F17" s="52"/>
      <c r="G17" s="52"/>
      <c r="H17" s="52"/>
    </row>
    <row r="18" spans="2:8" ht="18" customHeight="1">
      <c r="B18" s="53">
        <v>14</v>
      </c>
      <c r="C18" s="53" t="s">
        <v>86</v>
      </c>
      <c r="D18" s="53">
        <v>5</v>
      </c>
      <c r="E18" s="53"/>
      <c r="F18" s="53"/>
      <c r="G18" s="53"/>
      <c r="H18" s="53"/>
    </row>
    <row r="19" spans="2:8" ht="18" customHeight="1">
      <c r="B19" s="52">
        <v>15</v>
      </c>
      <c r="C19" s="52" t="s">
        <v>87</v>
      </c>
      <c r="D19" s="52">
        <v>4</v>
      </c>
      <c r="E19" s="52"/>
      <c r="F19" s="52"/>
      <c r="G19" s="52"/>
      <c r="H19" s="52"/>
    </row>
    <row r="20" spans="2:8" ht="18" customHeight="1">
      <c r="B20" s="53">
        <v>16</v>
      </c>
      <c r="C20" s="53" t="s">
        <v>88</v>
      </c>
      <c r="D20" s="53">
        <v>5</v>
      </c>
      <c r="E20" s="53"/>
      <c r="F20" s="53"/>
      <c r="G20" s="53"/>
      <c r="H20" s="53"/>
    </row>
    <row r="21" spans="2:8" ht="18" customHeight="1">
      <c r="B21" s="52">
        <v>17</v>
      </c>
      <c r="C21" s="52" t="s">
        <v>89</v>
      </c>
      <c r="D21" s="52">
        <v>225</v>
      </c>
      <c r="E21" s="52">
        <v>300</v>
      </c>
      <c r="F21" s="52">
        <v>75</v>
      </c>
      <c r="G21" s="52"/>
      <c r="H21" s="52"/>
    </row>
    <row r="22" spans="2:8" ht="18" customHeight="1">
      <c r="B22" s="53">
        <v>18</v>
      </c>
      <c r="C22" s="53" t="s">
        <v>90</v>
      </c>
      <c r="D22" s="53">
        <v>27</v>
      </c>
      <c r="E22" s="53"/>
      <c r="F22" s="53"/>
      <c r="G22" s="53"/>
      <c r="H22" s="53"/>
    </row>
    <row r="23" spans="2:8" ht="18" customHeight="1">
      <c r="B23" s="52">
        <v>19</v>
      </c>
      <c r="C23" s="52" t="s">
        <v>91</v>
      </c>
      <c r="D23" s="52">
        <v>56</v>
      </c>
      <c r="E23" s="52"/>
      <c r="F23" s="52"/>
      <c r="G23" s="52"/>
      <c r="H23" s="52"/>
    </row>
    <row r="24" spans="2:8" ht="18" customHeight="1">
      <c r="B24" s="53">
        <v>20</v>
      </c>
      <c r="C24" s="53" t="s">
        <v>92</v>
      </c>
      <c r="D24" s="53">
        <v>39</v>
      </c>
      <c r="E24" s="53"/>
      <c r="F24" s="53"/>
      <c r="G24" s="53"/>
      <c r="H24" s="53"/>
    </row>
    <row r="25" spans="2:8" ht="18" customHeight="1">
      <c r="B25" s="52">
        <v>21</v>
      </c>
      <c r="C25" s="52" t="s">
        <v>93</v>
      </c>
      <c r="D25" s="52">
        <v>33</v>
      </c>
      <c r="E25" s="52"/>
      <c r="F25" s="52"/>
      <c r="G25" s="52"/>
      <c r="H25" s="52"/>
    </row>
    <row r="26" spans="2:8" ht="18" customHeight="1">
      <c r="B26" s="53">
        <v>22</v>
      </c>
      <c r="C26" s="53" t="s">
        <v>94</v>
      </c>
      <c r="D26" s="53">
        <v>64</v>
      </c>
      <c r="E26" s="53"/>
      <c r="F26" s="53"/>
      <c r="G26" s="53"/>
      <c r="H26" s="53"/>
    </row>
    <row r="27" spans="2:8" ht="18" customHeight="1">
      <c r="B27" s="52">
        <v>23</v>
      </c>
      <c r="C27" s="52" t="s">
        <v>95</v>
      </c>
      <c r="D27" s="52">
        <v>41</v>
      </c>
      <c r="E27" s="52"/>
      <c r="F27" s="52"/>
      <c r="G27" s="52"/>
      <c r="H27" s="52"/>
    </row>
    <row r="28" spans="2:8" ht="18" customHeight="1">
      <c r="B28" s="53">
        <v>24</v>
      </c>
      <c r="C28" s="53" t="s">
        <v>96</v>
      </c>
      <c r="D28" s="53">
        <v>2</v>
      </c>
      <c r="E28" s="53"/>
      <c r="F28" s="53"/>
      <c r="G28" s="53"/>
      <c r="H28" s="53"/>
    </row>
    <row r="29" spans="2:8" ht="18" customHeight="1">
      <c r="B29" s="52">
        <v>25</v>
      </c>
      <c r="C29" s="52" t="s">
        <v>97</v>
      </c>
      <c r="D29" s="52">
        <v>2</v>
      </c>
      <c r="E29" s="52"/>
      <c r="F29" s="52"/>
      <c r="G29" s="52"/>
      <c r="H29" s="52"/>
    </row>
    <row r="30" spans="2:8" ht="18" customHeight="1">
      <c r="B30" s="53">
        <v>26</v>
      </c>
      <c r="C30" s="53" t="s">
        <v>98</v>
      </c>
      <c r="D30" s="53">
        <v>141</v>
      </c>
      <c r="E30" s="53">
        <v>510</v>
      </c>
      <c r="F30" s="53">
        <v>369</v>
      </c>
      <c r="G30" s="53"/>
      <c r="H30" s="53"/>
    </row>
    <row r="31" spans="2:8" ht="18" customHeight="1">
      <c r="B31" s="52">
        <v>27</v>
      </c>
      <c r="C31" s="52"/>
      <c r="D31" s="52"/>
      <c r="E31" s="52"/>
      <c r="F31" s="52"/>
      <c r="G31" s="52"/>
      <c r="H31" s="52"/>
    </row>
    <row r="32" spans="2:8" ht="26.25" customHeight="1"/>
    <row r="33" spans="2:8" ht="18" customHeight="1">
      <c r="B33" s="38" t="s">
        <v>99</v>
      </c>
      <c r="C33" s="38"/>
      <c r="D33" s="38"/>
      <c r="E33" s="38"/>
      <c r="F33" s="38"/>
      <c r="G33" s="38"/>
      <c r="H33" s="38"/>
    </row>
    <row r="34" spans="2:8" ht="9.75" customHeight="1"/>
    <row r="35" spans="2:8" ht="51.75" customHeight="1">
      <c r="B35" s="54" t="s">
        <v>100</v>
      </c>
      <c r="C35" s="54"/>
      <c r="D35" s="54"/>
      <c r="E35" s="54"/>
      <c r="F35" s="54"/>
      <c r="G35" s="54"/>
      <c r="H35" s="54"/>
    </row>
    <row r="36" spans="2:8" ht="17.25" customHeight="1"/>
    <row r="37" spans="2:8" ht="30.75" customHeight="1">
      <c r="B37" s="31" t="s">
        <v>101</v>
      </c>
      <c r="C37" s="31"/>
      <c r="D37" s="31"/>
      <c r="E37" s="31"/>
      <c r="F37" s="31"/>
      <c r="G37" s="31"/>
      <c r="H37" s="31"/>
    </row>
    <row r="38" spans="2:8" ht="27" customHeight="1"/>
    <row r="39" spans="2:8" ht="14.25" customHeight="1">
      <c r="B39" s="32" t="s">
        <v>102</v>
      </c>
      <c r="C39" s="32"/>
      <c r="D39" s="32"/>
      <c r="E39" s="32"/>
      <c r="F39" s="32"/>
      <c r="H39" s="33" t="s">
        <v>103</v>
      </c>
    </row>
    <row r="40" spans="2:8" ht="27" customHeight="1"/>
  </sheetData>
  <mergeCells count="33">
    <mergeCell ref="B2:H2"/>
    <mergeCell ref="F4:H4"/>
    <mergeCell ref="F5:H5"/>
    <mergeCell ref="F6:H6"/>
    <mergeCell ref="F7:H7"/>
    <mergeCell ref="F8:H8"/>
    <mergeCell ref="F9:H9"/>
    <mergeCell ref="F10:H10"/>
    <mergeCell ref="F11:H11"/>
    <mergeCell ref="F12:H12"/>
    <mergeCell ref="F13:H13"/>
    <mergeCell ref="F14:H14"/>
    <mergeCell ref="F15:H15"/>
    <mergeCell ref="F16:H16"/>
    <mergeCell ref="F17:H17"/>
    <mergeCell ref="F18:H18"/>
    <mergeCell ref="F19:H19"/>
    <mergeCell ref="F20:H20"/>
    <mergeCell ref="F21:H21"/>
    <mergeCell ref="F22:H22"/>
    <mergeCell ref="F23:H23"/>
    <mergeCell ref="F24:H24"/>
    <mergeCell ref="F25:H25"/>
    <mergeCell ref="F26:H26"/>
    <mergeCell ref="F27:H27"/>
    <mergeCell ref="F28:H28"/>
    <mergeCell ref="F29:H29"/>
    <mergeCell ref="F30:H30"/>
    <mergeCell ref="F31:H31"/>
    <mergeCell ref="B33:H33"/>
    <mergeCell ref="B35:H35"/>
    <mergeCell ref="B37:H37"/>
    <mergeCell ref="B39:F39"/>
  </mergeCells>
  <pageMargins left="0" right="0" top="0" bottom="0" header="0.3" footer="0.3"/>
  <pageSetup paperSize="9" orientation="portrait"/>
</worksheet>
</file>

<file path=xl/worksheets/sheet5.xml><?xml version="1.0" encoding="utf-8"?>
<worksheet xmlns="http://schemas.openxmlformats.org/spreadsheetml/2006/main" xmlns:r="http://schemas.openxmlformats.org/officeDocument/2006/relationships">
  <sheetPr>
    <tabColor rgb="FF6A1839"/>
    <pageSetUpPr fitToPage="1"/>
  </sheetPr>
  <dimension ref="A1:D13"/>
  <sheetViews>
    <sheetView showGridLines="0" zoomScale="90" zoomScaleNormal="90" workbookViewId="0">
      <pane ySplit="6" topLeftCell="A7" activePane="bottomLeft" state="frozen"/>
      <selection pane="bottomLeft"/>
    </sheetView>
  </sheetViews>
  <sheetFormatPr defaultRowHeight="15"/>
  <cols>
    <col min="1" max="1" width="6.7109375" customWidth="1"/>
    <col min="2" max="2" width="51.42578125" customWidth="1"/>
    <col min="3" max="3" width="15.28515625" customWidth="1"/>
    <col min="4" max="4" width="33.28515625" customWidth="1"/>
    <col min="5" max="5" width="6.7109375" customWidth="1"/>
  </cols>
  <sheetData>
    <row r="1" spans="2:4" ht="45" customHeight="1"/>
    <row r="2" spans="2:4" ht="26.25" customHeight="1">
      <c r="B2" s="55" t="s">
        <v>104</v>
      </c>
      <c r="C2" s="55"/>
      <c r="D2" s="55"/>
    </row>
    <row r="3" spans="2:4" ht="12.75" customHeight="1"/>
    <row r="4" spans="2:4" ht="47.25" customHeight="1">
      <c r="B4" s="8" t="s">
        <v>105</v>
      </c>
      <c r="C4" s="8"/>
      <c r="D4" s="8"/>
    </row>
    <row r="5" spans="2:4" ht="15.75" customHeight="1"/>
    <row r="6" spans="2:4" ht="24" customHeight="1">
      <c r="B6" s="24" t="s">
        <v>106</v>
      </c>
      <c r="C6" s="24" t="s">
        <v>107</v>
      </c>
      <c r="D6" s="24" t="s">
        <v>108</v>
      </c>
    </row>
    <row r="7" spans="2:4" ht="24.75" customHeight="1">
      <c r="B7" s="14" t="s">
        <v>109</v>
      </c>
      <c r="C7" s="14"/>
      <c r="D7" s="14" t="s">
        <v>110</v>
      </c>
    </row>
    <row r="8" spans="2:4" ht="24.75" customHeight="1">
      <c r="B8" s="14" t="s">
        <v>111</v>
      </c>
      <c r="C8" s="14"/>
      <c r="D8" s="14" t="s">
        <v>112</v>
      </c>
    </row>
    <row r="9" spans="2:4" ht="24.75" customHeight="1">
      <c r="B9" s="14" t="s">
        <v>113</v>
      </c>
      <c r="C9" s="14"/>
      <c r="D9" s="14" t="s">
        <v>114</v>
      </c>
    </row>
    <row r="10" spans="2:4" ht="24.75" customHeight="1">
      <c r="B10" s="14" t="s">
        <v>115</v>
      </c>
      <c r="C10" s="14"/>
      <c r="D10" s="14" t="s">
        <v>116</v>
      </c>
    </row>
    <row r="11" spans="2:4" ht="30" customHeight="1"/>
    <row r="12" spans="2:4" ht="57.75" customHeight="1">
      <c r="B12" s="8" t="s">
        <v>117</v>
      </c>
      <c r="C12" s="8"/>
      <c r="D12" s="8"/>
    </row>
    <row r="13" spans="2:4" ht="483" customHeight="1"/>
  </sheetData>
  <mergeCells count="3">
    <mergeCell ref="B2:D2"/>
    <mergeCell ref="B4:D4"/>
    <mergeCell ref="B12:D12"/>
  </mergeCells>
  <dataValidations count="4">
    <dataValidation type="decimal" operator="greaterThanOrEqual" allowBlank="1" showInputMessage="1" showErrorMessage="1" error="Enter a documented non-negative number or leave blank." sqref="C7">
      <formula1>0</formula1>
    </dataValidation>
    <dataValidation type="decimal" operator="greaterThanOrEqual" allowBlank="1" showInputMessage="1" showErrorMessage="1" error="Enter a documented non-negative number or leave blank." sqref="C8">
      <formula1>0</formula1>
    </dataValidation>
    <dataValidation type="decimal" operator="greaterThanOrEqual" allowBlank="1" showInputMessage="1" showErrorMessage="1" error="Enter a documented non-negative number or leave blank." sqref="C9">
      <formula1>0</formula1>
    </dataValidation>
    <dataValidation type="decimal" operator="greaterThanOrEqual" allowBlank="1" showInputMessage="1" showErrorMessage="1" error="Enter a documented non-negative number or leave blank." sqref="C10">
      <formula1>0</formula1>
    </dataValidation>
  </dataValidations>
  <pageMargins left="0" right="0" top="0" bottom="0" header="0.3" footer="0.3"/>
  <pageSetup paperSize="9"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One Time Cost</vt:lpstr>
      <vt:lpstr>Cost Explanation</vt:lpstr>
      <vt:lpstr>Tangible Benefits</vt:lpstr>
      <vt:lpstr>Company Inventory</vt:lpstr>
      <vt:lpstr>Input Details</vt:lpstr>
      <vt:lpstr>'Company Inventory'!Print_Area</vt:lpstr>
      <vt:lpstr>'Cost Explanation'!Print_Area</vt:lpstr>
      <vt:lpstr>'Input Details'!Print_Area</vt:lpstr>
      <vt:lpstr>'One Time Cost'!Print_Area</vt:lpstr>
      <vt:lpstr>'Tangible Benefits'!Print_Area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SiteTrace Cost-Benefit Worksheets — Reference Recreation</dc:title>
  <dc:creator>SiteTrace Academic Documentation</dc:creator>
  <dc:description>Only the green supplied inventory image supplies company data. Financial amounts intentionally blank.</dc:description>
  <cp:lastModifiedBy>SiteTrace Academic Documentation</cp:lastModifiedBy>
  <dcterms:created xsi:type="dcterms:W3CDTF">2026-10-24T09:56:08Z</dcterms:created>
  <dcterms:modified xsi:type="dcterms:W3CDTF">2026-10-24T09:56:08Z</dcterms:modified>
</cp:coreProperties>
</file>