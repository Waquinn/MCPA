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9" autoFilterDateGrouping="1"/>
  </bookViews>
  <sheets>
    <sheet xmlns:r="http://schemas.openxmlformats.org/officeDocument/2006/relationships" name="Inventory Baseline" sheetId="1" state="visible" r:id="rId1"/>
    <sheet xmlns:r="http://schemas.openxmlformats.org/officeDocument/2006/relationships" name="One-Time Development Cost" sheetId="2" state="visible" r:id="rId2"/>
    <sheet xmlns:r="http://schemas.openxmlformats.org/officeDocument/2006/relationships" name="Recurring Costs" sheetId="3" state="visible" r:id="rId3"/>
    <sheet xmlns:r="http://schemas.openxmlformats.org/officeDocument/2006/relationships" name="Existing System Operating Costs" sheetId="4" state="visible" r:id="rId4"/>
    <sheet xmlns:r="http://schemas.openxmlformats.org/officeDocument/2006/relationships" name="Proposed System Operating Costs" sheetId="5" state="visible" r:id="rId5"/>
    <sheet xmlns:r="http://schemas.openxmlformats.org/officeDocument/2006/relationships" name="Tangible Benefits Worksheet" sheetId="6" state="visible" r:id="rId6"/>
    <sheet xmlns:r="http://schemas.openxmlformats.org/officeDocument/2006/relationships" name="Intangible Benefits" sheetId="7" state="visible" r:id="rId7"/>
    <sheet xmlns:r="http://schemas.openxmlformats.org/officeDocument/2006/relationships" name="Financial Analysis" sheetId="8" state="visible" r:id="rId8"/>
    <sheet xmlns:r="http://schemas.openxmlformats.org/officeDocument/2006/relationships" name="Assumptions and References" sheetId="9" state="visible" r:id="rId9"/>
    <sheet xmlns:r="http://schemas.openxmlformats.org/officeDocument/2006/relationships" name="Executive Dashboard" sheetId="10" state="visible" r:id="rId10"/>
  </sheets>
  <definedNames>
    <definedName name="_xlnm._FilterDatabase" localSheetId="0" hidden="1">'Inventory Baseline'!$A$6:$L$32</definedName>
    <definedName name="_xlnm.Print_Titles" localSheetId="0">'Inventory Baseline'!$1:$6</definedName>
    <definedName name="_xlnm.Print_Area" localSheetId="0">'Inventory Baseline'!$A$1:$L$48</definedName>
    <definedName name="_xlnm.Print_Titles" localSheetId="1">'One-Time Development Cost'!$1:$4</definedName>
    <definedName name="_xlnm.Print_Area" localSheetId="1">'One-Time Development Cost'!$A$1:$G$39</definedName>
    <definedName name="_xlnm.Print_Titles" localSheetId="2">'Recurring Costs'!$1:$4</definedName>
    <definedName name="_xlnm.Print_Area" localSheetId="2">'Recurring Costs'!$A$1:$G$23</definedName>
    <definedName name="_xlnm.Print_Titles" localSheetId="3">'Existing System Operating Costs'!$1:$4</definedName>
    <definedName name="_xlnm.Print_Area" localSheetId="3">'Existing System Operating Costs'!$A$1:$I$43</definedName>
    <definedName name="_xlnm.Print_Titles" localSheetId="4">'Proposed System Operating Costs'!$1:$4</definedName>
    <definedName name="_xlnm.Print_Area" localSheetId="4">'Proposed System Operating Costs'!$A$1:$I$43</definedName>
    <definedName name="_xlnm.Print_Titles" localSheetId="5">'Tangible Benefits Worksheet'!$1:$4</definedName>
    <definedName name="_xlnm.Print_Area" localSheetId="5">'Tangible Benefits Worksheet'!$A$1:$J$51</definedName>
    <definedName name="_xlnm._FilterDatabase" localSheetId="6" hidden="1">'Intangible Benefits'!$A$6:$E$15</definedName>
    <definedName name="_xlnm.Print_Titles" localSheetId="6">'Intangible Benefits'!$1:$4</definedName>
    <definedName name="_xlnm.Print_Area" localSheetId="6">'Intangible Benefits'!$A$1:$E$22</definedName>
    <definedName name="_xlnm.Print_Titles" localSheetId="7">'Financial Analysis'!$1:$4</definedName>
    <definedName name="_xlnm.Print_Area" localSheetId="7">'Financial Analysis'!$A$1:$F$53</definedName>
    <definedName name="_xlnm.Print_Titles" localSheetId="8">'Assumptions and References'!$1:$4</definedName>
    <definedName name="_xlnm.Print_Area" localSheetId="8">'Assumptions and References'!$A$1:$D$49</definedName>
    <definedName name="_xlnm.Print_Titles" localSheetId="9">'Executive Dashboard'!$1:$4</definedName>
    <definedName name="_xlnm.Print_Area" localSheetId="9">'Executive Dashboard'!$A$1:$G$40</definedName>
  </definedNames>
  <calcPr calcId="191029" calcMode="auto" fullCalcOnLoad="1" forceFullCalc="1"/>
</workbook>
</file>

<file path=xl/styles.xml><?xml version="1.0" encoding="utf-8"?>
<styleSheet xmlns="http://schemas.openxmlformats.org/spreadsheetml/2006/main">
  <numFmts count="7">
    <numFmt numFmtId="164" formatCode="&quot;₱&quot;#,##0.00;[Red](&quot;₱&quot;#,##0.00);&quot;₱&quot;0.00"/>
    <numFmt numFmtId="165" formatCode="0.0%"/>
    <numFmt numFmtId="166" formatCode="#,##0.00;[Red](#,##0.00);0.00"/>
    <numFmt numFmtId="167" formatCode="0&quot; years&quot;"/>
    <numFmt numFmtId="168" formatCode="0.0000"/>
    <numFmt numFmtId="169" formatCode="0.00&quot; ×&quot;"/>
    <numFmt numFmtId="170" formatCode="0.00&quot; years&quot;"/>
  </numFmts>
  <fonts count="12">
    <font>
      <name val="Calibri"/>
      <family val="2"/>
      <color theme="1"/>
      <sz val="11"/>
      <scheme val="minor"/>
    </font>
    <font>
      <name val="Calibri"/>
      <b val="1"/>
      <color rgb="00FFFFFF"/>
      <sz val="17"/>
    </font>
    <font>
      <name val="Calibri"/>
      <color rgb="00627080"/>
      <sz val="10"/>
    </font>
    <font>
      <name val="Calibri"/>
      <color rgb="00627080"/>
      <sz val="9"/>
    </font>
    <font>
      <name val="Calibri"/>
      <color rgb="006A4D16"/>
      <sz val="10"/>
    </font>
    <font>
      <name val="Calibri"/>
      <b val="1"/>
      <color rgb="00FFFFFF"/>
      <sz val="10"/>
    </font>
    <font>
      <name val="Calibri"/>
      <color rgb="0018202A"/>
      <sz val="10"/>
    </font>
    <font>
      <name val="Calibri"/>
      <color rgb="00146B69"/>
      <sz val="10"/>
    </font>
    <font>
      <name val="Calibri"/>
      <color rgb="00165CA0"/>
      <sz val="10"/>
    </font>
    <font>
      <name val="Calibri"/>
      <b val="1"/>
      <color rgb="00FFFFFF"/>
      <sz val="11"/>
    </font>
    <font>
      <name val="Calibri"/>
      <b val="1"/>
      <color rgb="0018202A"/>
      <sz val="11"/>
    </font>
    <font>
      <name val="Calibri"/>
      <b val="1"/>
      <color rgb="00146B69"/>
      <sz val="11"/>
    </font>
  </fonts>
  <fills count="8">
    <fill>
      <patternFill/>
    </fill>
    <fill>
      <patternFill patternType="gray125"/>
    </fill>
    <fill>
      <patternFill patternType="solid">
        <fgColor rgb="0018364E"/>
      </patternFill>
    </fill>
    <fill>
      <patternFill patternType="solid">
        <fgColor rgb="00EDF3F6"/>
      </patternFill>
    </fill>
    <fill>
      <patternFill patternType="solid">
        <fgColor rgb="00FFF0CC"/>
      </patternFill>
    </fill>
    <fill>
      <patternFill patternType="solid">
        <fgColor rgb="00F5F7F8"/>
      </patternFill>
    </fill>
    <fill>
      <patternFill patternType="solid">
        <fgColor rgb="00FFFFFF"/>
      </patternFill>
    </fill>
    <fill>
      <patternFill patternType="solid">
        <fgColor rgb="00E5F1FF"/>
      </patternFill>
    </fill>
  </fills>
  <borders count="4">
    <border>
      <left/>
      <right/>
      <top/>
      <bottom/>
      <diagonal/>
    </border>
    <border>
      <bottom style="hair">
        <color rgb="00CBD4DA"/>
      </bottom>
    </border>
    <border>
      <left/>
      <right/>
      <top/>
      <bottom style="hair">
        <color rgb="00CBD4DA"/>
      </bottom>
      <diagonal/>
    </border>
    <border>
      <right/>
      <bottom style="hair">
        <color rgb="00CBD4DA"/>
      </bottom>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0" fillId="3" borderId="0" pivotButton="0" quotePrefix="0" xfId="0"/>
    <xf numFmtId="0" fontId="4" fillId="4" borderId="0" applyAlignment="1" pivotButton="0" quotePrefix="0" xfId="0">
      <alignment vertical="center" wrapText="1"/>
    </xf>
    <xf numFmtId="0" fontId="0" fillId="4" borderId="0" pivotButton="0" quotePrefix="0" xfId="0"/>
    <xf numFmtId="0" fontId="5" fillId="2" borderId="0" applyAlignment="1" pivotButton="0" quotePrefix="0" xfId="0">
      <alignment vertical="center" wrapText="1"/>
    </xf>
    <xf numFmtId="0" fontId="6" fillId="5" borderId="1" applyAlignment="1" pivotButton="0" quotePrefix="0" xfId="0">
      <alignment vertical="center" wrapText="1"/>
    </xf>
    <xf numFmtId="3" fontId="6" fillId="5" borderId="1" applyAlignment="1" pivotButton="0" quotePrefix="0" xfId="0">
      <alignment vertical="center" wrapText="1"/>
    </xf>
    <xf numFmtId="3" fontId="7" fillId="6" borderId="1" applyAlignment="1" pivotButton="0" quotePrefix="0" xfId="0">
      <alignment vertical="center" wrapText="1"/>
    </xf>
    <xf numFmtId="0" fontId="7" fillId="6" borderId="1" applyAlignment="1" pivotButton="0" quotePrefix="0" xfId="0">
      <alignment vertical="center" wrapText="1"/>
    </xf>
    <xf numFmtId="164" fontId="8" fillId="7" borderId="1" applyAlignment="1" pivotButton="0" quotePrefix="0" xfId="0">
      <alignment vertical="center" wrapText="1"/>
    </xf>
    <xf numFmtId="164" fontId="7" fillId="6" borderId="1" applyAlignment="1" pivotButton="0" quotePrefix="0" xfId="0">
      <alignment vertical="center" wrapText="1"/>
    </xf>
    <xf numFmtId="0" fontId="8" fillId="7" borderId="1" applyAlignment="1" pivotButton="0" quotePrefix="0" xfId="0">
      <alignment vertical="center" wrapText="1"/>
    </xf>
    <xf numFmtId="165" fontId="7" fillId="6" borderId="1" applyAlignment="1" pivotButton="0" quotePrefix="0" xfId="0">
      <alignment vertical="center" wrapText="1"/>
    </xf>
    <xf numFmtId="0" fontId="7" fillId="3" borderId="0" applyAlignment="1" pivotButton="0" quotePrefix="0" xfId="0">
      <alignment vertical="center" wrapText="1"/>
    </xf>
    <xf numFmtId="0" fontId="9" fillId="2" borderId="0" applyAlignment="1" pivotButton="0" quotePrefix="0" xfId="0">
      <alignment vertical="center" wrapText="1"/>
    </xf>
    <xf numFmtId="166" fontId="8" fillId="7" borderId="1" applyAlignment="1" pivotButton="0" quotePrefix="0" xfId="0">
      <alignment vertical="center" wrapText="1"/>
    </xf>
    <xf numFmtId="0" fontId="10" fillId="3" borderId="0" applyAlignment="1" pivotButton="0" quotePrefix="0" xfId="0">
      <alignment vertical="center" wrapText="1"/>
    </xf>
    <xf numFmtId="164" fontId="11" fillId="6" borderId="1" applyAlignment="1" pivotButton="0" quotePrefix="0" xfId="0">
      <alignment vertical="center" wrapText="1"/>
    </xf>
    <xf numFmtId="0" fontId="6" fillId="3" borderId="0" applyAlignment="1" pivotButton="0" quotePrefix="0" xfId="0">
      <alignment vertical="center" wrapText="1"/>
    </xf>
    <xf numFmtId="166" fontId="7" fillId="6" borderId="1" applyAlignment="1" pivotButton="0" quotePrefix="0" xfId="0">
      <alignment vertical="center" wrapText="1"/>
    </xf>
    <xf numFmtId="166" fontId="11" fillId="6" borderId="1" applyAlignment="1" pivotButton="0" quotePrefix="0" xfId="0">
      <alignment vertical="center" wrapText="1"/>
    </xf>
    <xf numFmtId="0" fontId="6" fillId="0" borderId="0" applyAlignment="1" pivotButton="0" quotePrefix="0" xfId="0">
      <alignment vertical="center" wrapText="1"/>
    </xf>
    <xf numFmtId="9" fontId="8" fillId="7" borderId="1" applyAlignment="1" pivotButton="0" quotePrefix="0" xfId="0">
      <alignment vertical="center" wrapText="1"/>
    </xf>
    <xf numFmtId="164" fontId="6" fillId="5" borderId="1" applyAlignment="1" pivotButton="0" quotePrefix="0" xfId="0">
      <alignment vertical="center" wrapText="1"/>
    </xf>
    <xf numFmtId="167" fontId="6" fillId="5" borderId="1" applyAlignment="1" pivotButton="0" quotePrefix="0" xfId="0">
      <alignment vertical="center" wrapText="1"/>
    </xf>
    <xf numFmtId="168" fontId="7" fillId="6" borderId="1" applyAlignment="1" pivotButton="0" quotePrefix="0" xfId="0">
      <alignment vertical="center" wrapText="1"/>
    </xf>
    <xf numFmtId="0" fontId="6" fillId="4" borderId="0" applyAlignment="1" pivotButton="0" quotePrefix="0" xfId="0">
      <alignment vertical="center" wrapText="1"/>
    </xf>
    <xf numFmtId="169" fontId="7" fillId="6" borderId="1" applyAlignment="1" pivotButton="0" quotePrefix="0" xfId="0">
      <alignment vertical="center" wrapText="1"/>
    </xf>
    <xf numFmtId="170" fontId="7" fillId="6" borderId="1" applyAlignment="1" pivotButton="0" quotePrefix="0" xfId="0">
      <alignment vertical="center" wrapText="1"/>
    </xf>
    <xf numFmtId="165" fontId="8" fillId="7" borderId="1" applyAlignment="1" pivotButton="0" quotePrefix="0" xfId="0">
      <alignment vertical="center" wrapText="1"/>
    </xf>
    <xf numFmtId="0" fontId="0" fillId="0" borderId="2" pivotButton="0" quotePrefix="0" xfId="0"/>
    <xf numFmtId="164" fontId="7" fillId="6" borderId="3" applyAlignment="1" pivotButton="0" quotePrefix="0" xfId="0">
      <alignment vertical="center" wrapText="1"/>
    </xf>
    <xf numFmtId="165" fontId="7" fillId="6" borderId="3" applyAlignment="1" pivotButton="0" quotePrefix="0" xfId="0">
      <alignment vertical="center" wrapText="1"/>
    </xf>
    <xf numFmtId="170" fontId="7" fillId="6" borderId="3" applyAlignment="1" pivotButton="0" quotePrefix="0" xfId="0">
      <alignment vertical="center" wrapText="1"/>
    </xf>
  </cellXfs>
  <cellStyles count="1">
    <cellStyle name="Normal" xfId="0" builtinId="0" hidden="0"/>
  </cellStyles>
  <dxfs count="1">
    <dxf>
      <fill>
        <patternFill patternType="solid">
          <fgColor rgb="00FFF0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Reported gaps by equipment category</a:t>
            </a:r>
          </a:p>
        </rich>
      </tx>
    </title>
    <plotArea>
      <barChart>
        <barDir val="bar"/>
        <grouping val="clustered"/>
        <ser>
          <idx val="0"/>
          <order val="0"/>
          <tx>
            <strRef>
              <f>'Executive Dashboard'!B16</f>
            </strRef>
          </tx>
          <spPr>
            <a:ln xmlns:a="http://schemas.openxmlformats.org/drawingml/2006/main">
              <a:prstDash val="solid"/>
            </a:ln>
          </spPr>
          <cat>
            <numRef>
              <f>'Executive Dashboard'!$A$17:$A$19</f>
            </numRef>
          </cat>
          <val>
            <numRef>
              <f>'Executive Dashboard'!$B$17:$B$19</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Unreconciled units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SiteTrace CBA</author>
  </authors>
  <commentList>
    <comment ref="H7" authorId="0" shapeId="0">
      <text>
        <t>Editable planning input. Supply a measured value, approved estimate or supplier quotation. Blank means unknown; enter 0 only when supported.</t>
      </text>
    </comment>
    <comment ref="K7" authorId="0" shapeId="0">
      <text>
        <t>Editable planning input. Supply a measured value, approved estimate or supplier quotation. Blank means unknown; enter 0 only when supported.</t>
      </text>
    </comment>
    <comment ref="H8" authorId="0" shapeId="0">
      <text>
        <t>Editable planning input. Supply a measured value, approved estimate or supplier quotation. Blank means unknown; enter 0 only when supported.</t>
      </text>
    </comment>
    <comment ref="K8" authorId="0" shapeId="0">
      <text>
        <t>Editable planning input. Supply a measured value, approved estimate or supplier quotation. Blank means unknown; enter 0 only when supported.</t>
      </text>
    </comment>
    <comment ref="H9" authorId="0" shapeId="0">
      <text>
        <t>Editable planning input. Supply a measured value, approved estimate or supplier quotation. Blank means unknown; enter 0 only when supported.</t>
      </text>
    </comment>
    <comment ref="K9" authorId="0" shapeId="0">
      <text>
        <t>Editable planning input. Supply a measured value, approved estimate or supplier quotation. Blank means unknown; enter 0 only when supported.</t>
      </text>
    </comment>
    <comment ref="H10" authorId="0" shapeId="0">
      <text>
        <t>Editable planning input. Supply a measured value, approved estimate or supplier quotation. Blank means unknown; enter 0 only when supported.</t>
      </text>
    </comment>
    <comment ref="K10" authorId="0" shapeId="0">
      <text>
        <t>Editable planning input. Supply a measured value, approved estimate or supplier quotation. Blank means unknown; enter 0 only when supported.</t>
      </text>
    </comment>
    <comment ref="H11" authorId="0" shapeId="0">
      <text>
        <t>Editable planning input. Supply a measured value, approved estimate or supplier quotation. Blank means unknown; enter 0 only when supported.</t>
      </text>
    </comment>
    <comment ref="K11" authorId="0" shapeId="0">
      <text>
        <t>Editable planning input. Supply a measured value, approved estimate or supplier quotation. Blank means unknown; enter 0 only when supported.</t>
      </text>
    </comment>
    <comment ref="H12" authorId="0" shapeId="0">
      <text>
        <t>Editable planning input. Supply a measured value, approved estimate or supplier quotation. Blank means unknown; enter 0 only when supported.</t>
      </text>
    </comment>
    <comment ref="K12" authorId="0" shapeId="0">
      <text>
        <t>Editable planning input. Supply a measured value, approved estimate or supplier quotation. Blank means unknown; enter 0 only when supported.</t>
      </text>
    </comment>
    <comment ref="H13" authorId="0" shapeId="0">
      <text>
        <t>Editable planning input. Supply a measured value, approved estimate or supplier quotation. Blank means unknown; enter 0 only when supported.</t>
      </text>
    </comment>
    <comment ref="K13" authorId="0" shapeId="0">
      <text>
        <t>Editable planning input. Supply a measured value, approved estimate or supplier quotation. Blank means unknown; enter 0 only when supported.</t>
      </text>
    </comment>
    <comment ref="H14" authorId="0" shapeId="0">
      <text>
        <t>Editable planning input. Supply a measured value, approved estimate or supplier quotation. Blank means unknown; enter 0 only when supported.</t>
      </text>
    </comment>
    <comment ref="K14" authorId="0" shapeId="0">
      <text>
        <t>Editable planning input. Supply a measured value, approved estimate or supplier quotation. Blank means unknown; enter 0 only when supported.</t>
      </text>
    </comment>
    <comment ref="H15" authorId="0" shapeId="0">
      <text>
        <t>Editable planning input. Supply a measured value, approved estimate or supplier quotation. Blank means unknown; enter 0 only when supported.</t>
      </text>
    </comment>
    <comment ref="K15" authorId="0" shapeId="0">
      <text>
        <t>Editable planning input. Supply a measured value, approved estimate or supplier quotation. Blank means unknown; enter 0 only when supported.</t>
      </text>
    </comment>
    <comment ref="H16" authorId="0" shapeId="0">
      <text>
        <t>Editable planning input. Supply a measured value, approved estimate or supplier quotation. Blank means unknown; enter 0 only when supported.</t>
      </text>
    </comment>
    <comment ref="K16" authorId="0" shapeId="0">
      <text>
        <t>Editable planning input. Supply a measured value, approved estimate or supplier quotation. Blank means unknown; enter 0 only when supported.</t>
      </text>
    </comment>
    <comment ref="H17" authorId="0" shapeId="0">
      <text>
        <t>Editable planning input. Supply a measured value, approved estimate or supplier quotation. Blank means unknown; enter 0 only when supported.</t>
      </text>
    </comment>
    <comment ref="K17" authorId="0" shapeId="0">
      <text>
        <t>Editable planning input. Supply a measured value, approved estimate or supplier quotation. Blank means unknown; enter 0 only when supported.</t>
      </text>
    </comment>
    <comment ref="H18" authorId="0" shapeId="0">
      <text>
        <t>Editable planning input. Supply a measured value, approved estimate or supplier quotation. Blank means unknown; enter 0 only when supported.</t>
      </text>
    </comment>
    <comment ref="K18" authorId="0" shapeId="0">
      <text>
        <t>Editable planning input. Supply a measured value, approved estimate or supplier quotation. Blank means unknown; enter 0 only when supported.</t>
      </text>
    </comment>
    <comment ref="H19" authorId="0" shapeId="0">
      <text>
        <t>Editable planning input. Supply a measured value, approved estimate or supplier quotation. Blank means unknown; enter 0 only when supported.</t>
      </text>
    </comment>
    <comment ref="K19" authorId="0" shapeId="0">
      <text>
        <t>Editable planning input. Supply a measured value, approved estimate or supplier quotation. Blank means unknown; enter 0 only when supported.</t>
      </text>
    </comment>
    <comment ref="H20" authorId="0" shapeId="0">
      <text>
        <t>Editable planning input. Supply a measured value, approved estimate or supplier quotation. Blank means unknown; enter 0 only when supported.</t>
      </text>
    </comment>
    <comment ref="K20" authorId="0" shapeId="0">
      <text>
        <t>Editable planning input. Supply a measured value, approved estimate or supplier quotation. Blank means unknown; enter 0 only when supported.</t>
      </text>
    </comment>
    <comment ref="H21" authorId="0" shapeId="0">
      <text>
        <t>Editable planning input. Supply a measured value, approved estimate or supplier quotation. Blank means unknown; enter 0 only when supported.</t>
      </text>
    </comment>
    <comment ref="K21" authorId="0" shapeId="0">
      <text>
        <t>Editable planning input. Supply a measured value, approved estimate or supplier quotation. Blank means unknown; enter 0 only when supported.</t>
      </text>
    </comment>
    <comment ref="H22" authorId="0" shapeId="0">
      <text>
        <t>Editable planning input. Supply a measured value, approved estimate or supplier quotation. Blank means unknown; enter 0 only when supported.</t>
      </text>
    </comment>
    <comment ref="K22" authorId="0" shapeId="0">
      <text>
        <t>Editable planning input. Supply a measured value, approved estimate or supplier quotation. Blank means unknown; enter 0 only when supported.</t>
      </text>
    </comment>
    <comment ref="H23" authorId="0" shapeId="0">
      <text>
        <t>Editable planning input. Supply a measured value, approved estimate or supplier quotation. Blank means unknown; enter 0 only when supported.</t>
      </text>
    </comment>
    <comment ref="K23" authorId="0" shapeId="0">
      <text>
        <t>Editable planning input. Supply a measured value, approved estimate or supplier quotation. Blank means unknown; enter 0 only when supported.</t>
      </text>
    </comment>
    <comment ref="H24" authorId="0" shapeId="0">
      <text>
        <t>Editable planning input. Supply a measured value, approved estimate or supplier quotation. Blank means unknown; enter 0 only when supported.</t>
      </text>
    </comment>
    <comment ref="K24" authorId="0" shapeId="0">
      <text>
        <t>Editable planning input. Supply a measured value, approved estimate or supplier quotation. Blank means unknown; enter 0 only when supported.</t>
      </text>
    </comment>
    <comment ref="H25" authorId="0" shapeId="0">
      <text>
        <t>Editable planning input. Supply a measured value, approved estimate or supplier quotation. Blank means unknown; enter 0 only when supported.</t>
      </text>
    </comment>
    <comment ref="K25" authorId="0" shapeId="0">
      <text>
        <t>Editable planning input. Supply a measured value, approved estimate or supplier quotation. Blank means unknown; enter 0 only when supported.</t>
      </text>
    </comment>
    <comment ref="H26" authorId="0" shapeId="0">
      <text>
        <t>Editable planning input. Supply a measured value, approved estimate or supplier quotation. Blank means unknown; enter 0 only when supported.</t>
      </text>
    </comment>
    <comment ref="K26" authorId="0" shapeId="0">
      <text>
        <t>Editable planning input. Supply a measured value, approved estimate or supplier quotation. Blank means unknown; enter 0 only when supported.</t>
      </text>
    </comment>
    <comment ref="H27" authorId="0" shapeId="0">
      <text>
        <t>Editable planning input. Supply a measured value, approved estimate or supplier quotation. Blank means unknown; enter 0 only when supported.</t>
      </text>
    </comment>
    <comment ref="K27" authorId="0" shapeId="0">
      <text>
        <t>Editable planning input. Supply a measured value, approved estimate or supplier quotation. Blank means unknown; enter 0 only when supported.</t>
      </text>
    </comment>
    <comment ref="H28" authorId="0" shapeId="0">
      <text>
        <t>Editable planning input. Supply a measured value, approved estimate or supplier quotation. Blank means unknown; enter 0 only when supported.</t>
      </text>
    </comment>
    <comment ref="K28" authorId="0" shapeId="0">
      <text>
        <t>Editable planning input. Supply a measured value, approved estimate or supplier quotation. Blank means unknown; enter 0 only when supported.</t>
      </text>
    </comment>
    <comment ref="H29" authorId="0" shapeId="0">
      <text>
        <t>Editable planning input. Supply a measured value, approved estimate or supplier quotation. Blank means unknown; enter 0 only when supported.</t>
      </text>
    </comment>
    <comment ref="K29" authorId="0" shapeId="0">
      <text>
        <t>Editable planning input. Supply a measured value, approved estimate or supplier quotation. Blank means unknown; enter 0 only when supported.</t>
      </text>
    </comment>
    <comment ref="H30" authorId="0" shapeId="0">
      <text>
        <t>Editable planning input. Supply a measured value, approved estimate or supplier quotation. Blank means unknown; enter 0 only when supported.</t>
      </text>
    </comment>
    <comment ref="K30" authorId="0" shapeId="0">
      <text>
        <t>Editable planning input. Supply a measured value, approved estimate or supplier quotation. Blank means unknown; enter 0 only when supported.</t>
      </text>
    </comment>
    <comment ref="H31" authorId="0" shapeId="0">
      <text>
        <t>Editable planning input. Supply a measured value, approved estimate or supplier quotation. Blank means unknown; enter 0 only when supported.</t>
      </text>
    </comment>
    <comment ref="K31" authorId="0" shapeId="0">
      <text>
        <t>Editable planning input. Supply a measured value, approved estimate or supplier quotation. Blank means unknown; enter 0 only when supported.</t>
      </text>
    </comment>
    <comment ref="H32" authorId="0" shapeId="0">
      <text>
        <t>Editable planning input. Supply a measured value, approved estimate or supplier quotation. Blank means unknown; enter 0 only when supported.</t>
      </text>
    </comment>
    <comment ref="K32" authorId="0" shapeId="0">
      <text>
        <t>Editable planning input. Supply a measured value, approved estimate or supplier quotation. Blank means unknown; enter 0 only when supported.</t>
      </text>
    </comment>
  </commentList>
</comments>
</file>

<file path=xl/comments/comment2.xml><?xml version="1.0" encoding="utf-8"?>
<comments xmlns="http://schemas.openxmlformats.org/spreadsheetml/2006/main">
  <authors>
    <author>SiteTrace CBA</author>
  </authors>
  <commentList>
    <comment ref="B7" authorId="0" shapeId="0">
      <text>
        <t>Editable planning input. Supply a measured value, approved estimate or supplier quotation. Blank means unknown; enter 0 only when supported.</t>
      </text>
    </comment>
    <comment ref="C7" authorId="0" shapeId="0">
      <text>
        <t>Editable planning input. Supply a measured value, approved estimate or supplier quotation. Blank means unknown; enter 0 only when supported.</t>
      </text>
    </comment>
    <comment ref="F7" authorId="0" shapeId="0">
      <text>
        <t>Editable planning input. Supply a measured value, approved estimate or supplier quotation. Blank means unknown; enter 0 only when supported.</t>
      </text>
    </comment>
    <comment ref="G7" authorId="0" shapeId="0">
      <text>
        <t>Editable planning input. Supply a measured value, approved estimate or supplier quotation. Blank means unknown; enter 0 only when supported.</t>
      </text>
    </comment>
    <comment ref="B8" authorId="0" shapeId="0">
      <text>
        <t>Editable planning input. Supply a measured value, approved estimate or supplier quotation. Blank means unknown; enter 0 only when supported.</t>
      </text>
    </comment>
    <comment ref="C8" authorId="0" shapeId="0">
      <text>
        <t>Editable planning input. Supply a measured value, approved estimate or supplier quotation. Blank means unknown; enter 0 only when supported.</t>
      </text>
    </comment>
    <comment ref="F8" authorId="0" shapeId="0">
      <text>
        <t>Editable planning input. Supply a measured value, approved estimate or supplier quotation. Blank means unknown; enter 0 only when supported.</t>
      </text>
    </comment>
    <comment ref="G8" authorId="0" shapeId="0">
      <text>
        <t>Editable planning input. Supply a measured value, approved estimate or supplier quotation. Blank means unknown; enter 0 only when supported.</t>
      </text>
    </comment>
    <comment ref="B9" authorId="0" shapeId="0">
      <text>
        <t>Editable planning input. Supply a measured value, approved estimate or supplier quotation. Blank means unknown; enter 0 only when supported.</t>
      </text>
    </comment>
    <comment ref="C9" authorId="0" shapeId="0">
      <text>
        <t>Editable planning input. Supply a measured value, approved estimate or supplier quotation. Blank means unknown; enter 0 only when supported.</t>
      </text>
    </comment>
    <comment ref="F9" authorId="0" shapeId="0">
      <text>
        <t>Editable planning input. Supply a measured value, approved estimate or supplier quotation. Blank means unknown; enter 0 only when supported.</t>
      </text>
    </comment>
    <comment ref="G9" authorId="0" shapeId="0">
      <text>
        <t>Editable planning input. Supply a measured value, approved estimate or supplier quotation. Blank means unknown; enter 0 only when supported.</t>
      </text>
    </comment>
    <comment ref="B10" authorId="0" shapeId="0">
      <text>
        <t>Editable planning input. Supply a measured value, approved estimate or supplier quotation. Blank means unknown; enter 0 only when supported.</t>
      </text>
    </comment>
    <comment ref="C10" authorId="0" shapeId="0">
      <text>
        <t>Editable planning input. Supply a measured value, approved estimate or supplier quotation. Blank means unknown; enter 0 only when supported.</t>
      </text>
    </comment>
    <comment ref="F10" authorId="0" shapeId="0">
      <text>
        <t>Editable planning input. Supply a measured value, approved estimate or supplier quotation. Blank means unknown; enter 0 only when supported.</t>
      </text>
    </comment>
    <comment ref="G10" authorId="0" shapeId="0">
      <text>
        <t>Editable planning input. Supply a measured value, approved estimate or supplier quotation. Blank means unknown; enter 0 only when supported.</t>
      </text>
    </comment>
    <comment ref="B11" authorId="0" shapeId="0">
      <text>
        <t>Editable planning input. Supply a measured value, approved estimate or supplier quotation. Blank means unknown; enter 0 only when supported.</t>
      </text>
    </comment>
    <comment ref="C11" authorId="0" shapeId="0">
      <text>
        <t>Editable planning input. Supply a measured value, approved estimate or supplier quotation. Blank means unknown; enter 0 only when supported.</t>
      </text>
    </comment>
    <comment ref="F11" authorId="0" shapeId="0">
      <text>
        <t>Editable planning input. Supply a measured value, approved estimate or supplier quotation. Blank means unknown; enter 0 only when supported.</t>
      </text>
    </comment>
    <comment ref="G11" authorId="0" shapeId="0">
      <text>
        <t>Editable planning input. Supply a measured value, approved estimate or supplier quotation. Blank means unknown; enter 0 only when supported.</t>
      </text>
    </comment>
    <comment ref="B16" authorId="0" shapeId="0">
      <text>
        <t>Editable planning input. Supply a measured value, approved estimate or supplier quotation. Blank means unknown; enter 0 only when supported.</t>
      </text>
    </comment>
    <comment ref="C16" authorId="0" shapeId="0">
      <text>
        <t>Editable planning input. Supply a measured value, approved estimate or supplier quotation. Blank means unknown; enter 0 only when supported.</t>
      </text>
    </comment>
    <comment ref="F16" authorId="0" shapeId="0">
      <text>
        <t>Editable planning input. Supply a measured value, approved estimate or supplier quotation. Blank means unknown; enter 0 only when supported.</t>
      </text>
    </comment>
    <comment ref="G16" authorId="0" shapeId="0">
      <text>
        <t>Editable planning input. Supply a measured value, approved estimate or supplier quotation. Blank means unknown; enter 0 only when supported.</t>
      </text>
    </comment>
    <comment ref="B17" authorId="0" shapeId="0">
      <text>
        <t>Editable planning input. Supply a measured value, approved estimate or supplier quotation. Blank means unknown; enter 0 only when supported.</t>
      </text>
    </comment>
    <comment ref="C17" authorId="0" shapeId="0">
      <text>
        <t>Editable planning input. Supply a measured value, approved estimate or supplier quotation. Blank means unknown; enter 0 only when supported.</t>
      </text>
    </comment>
    <comment ref="F17" authorId="0" shapeId="0">
      <text>
        <t>Editable planning input. Supply a measured value, approved estimate or supplier quotation. Blank means unknown; enter 0 only when supported.</t>
      </text>
    </comment>
    <comment ref="G17" authorId="0" shapeId="0">
      <text>
        <t>Editable planning input. Supply a measured value, approved estimate or supplier quotation. Blank means unknown; enter 0 only when supported.</t>
      </text>
    </comment>
    <comment ref="B18" authorId="0" shapeId="0">
      <text>
        <t>Editable planning input. Supply a measured value, approved estimate or supplier quotation. Blank means unknown; enter 0 only when supported.</t>
      </text>
    </comment>
    <comment ref="C18" authorId="0" shapeId="0">
      <text>
        <t>Editable planning input. Supply a measured value, approved estimate or supplier quotation. Blank means unknown; enter 0 only when supported.</t>
      </text>
    </comment>
    <comment ref="F18" authorId="0" shapeId="0">
      <text>
        <t>Editable planning input. Supply a measured value, approved estimate or supplier quotation. Blank means unknown; enter 0 only when supported.</t>
      </text>
    </comment>
    <comment ref="G18" authorId="0" shapeId="0">
      <text>
        <t>Editable planning input. Supply a measured value, approved estimate or supplier quotation. Blank means unknown; enter 0 only when supported.</t>
      </text>
    </comment>
    <comment ref="B19" authorId="0" shapeId="0">
      <text>
        <t>Editable planning input. Supply a measured value, approved estimate or supplier quotation. Blank means unknown; enter 0 only when supported.</t>
      </text>
    </comment>
    <comment ref="C19" authorId="0" shapeId="0">
      <text>
        <t>Editable planning input. Supply a measured value, approved estimate or supplier quotation. Blank means unknown; enter 0 only when supported.</t>
      </text>
    </comment>
    <comment ref="F19" authorId="0" shapeId="0">
      <text>
        <t>Editable planning input. Supply a measured value, approved estimate or supplier quotation. Blank means unknown; enter 0 only when supported.</t>
      </text>
    </comment>
    <comment ref="G19" authorId="0" shapeId="0">
      <text>
        <t>Editable planning input. Supply a measured value, approved estimate or supplier quotation. Blank means unknown; enter 0 only when supported.</t>
      </text>
    </comment>
    <comment ref="B24" authorId="0" shapeId="0">
      <text>
        <t>Editable planning input. Supply a measured value, approved estimate or supplier quotation. Blank means unknown; enter 0 only when supported.</t>
      </text>
    </comment>
    <comment ref="C24" authorId="0" shapeId="0">
      <text>
        <t>Editable planning input. Supply a measured value, approved estimate or supplier quotation. Blank means unknown; enter 0 only when supported.</t>
      </text>
    </comment>
    <comment ref="F24" authorId="0" shapeId="0">
      <text>
        <t>Editable planning input. Supply a measured value, approved estimate or supplier quotation. Blank means unknown; enter 0 only when supported.</t>
      </text>
    </comment>
    <comment ref="G24" authorId="0" shapeId="0">
      <text>
        <t>Editable planning input. Supply a measured value, approved estimate or supplier quotation. Blank means unknown; enter 0 only when supported.</t>
      </text>
    </comment>
    <comment ref="B25" authorId="0" shapeId="0">
      <text>
        <t>Editable planning input. Supply a measured value, approved estimate or supplier quotation. Blank means unknown; enter 0 only when supported.</t>
      </text>
    </comment>
    <comment ref="C25" authorId="0" shapeId="0">
      <text>
        <t>Editable planning input. Supply a measured value, approved estimate or supplier quotation. Blank means unknown; enter 0 only when supported.</t>
      </text>
    </comment>
    <comment ref="F25" authorId="0" shapeId="0">
      <text>
        <t>Editable planning input. Supply a measured value, approved estimate or supplier quotation. Blank means unknown; enter 0 only when supported.</t>
      </text>
    </comment>
    <comment ref="G25" authorId="0" shapeId="0">
      <text>
        <t>Editable planning input. Supply a measured value, approved estimate or supplier quotation. Blank means unknown; enter 0 only when supported.</t>
      </text>
    </comment>
    <comment ref="B26" authorId="0" shapeId="0">
      <text>
        <t>Editable planning input. Supply a measured value, approved estimate or supplier quotation. Blank means unknown; enter 0 only when supported.</t>
      </text>
    </comment>
    <comment ref="C26" authorId="0" shapeId="0">
      <text>
        <t>Editable planning input. Supply a measured value, approved estimate or supplier quotation. Blank means unknown; enter 0 only when supported.</t>
      </text>
    </comment>
    <comment ref="F26" authorId="0" shapeId="0">
      <text>
        <t>Editable planning input. Supply a measured value, approved estimate or supplier quotation. Blank means unknown; enter 0 only when supported.</t>
      </text>
    </comment>
    <comment ref="G26" authorId="0" shapeId="0">
      <text>
        <t>Editable planning input. Supply a measured value, approved estimate or supplier quotation. Blank means unknown; enter 0 only when supported.</t>
      </text>
    </comment>
    <comment ref="B27" authorId="0" shapeId="0">
      <text>
        <t>Editable planning input. Supply a measured value, approved estimate or supplier quotation. Blank means unknown; enter 0 only when supported.</t>
      </text>
    </comment>
    <comment ref="C27" authorId="0" shapeId="0">
      <text>
        <t>Editable planning input. Supply a measured value, approved estimate or supplier quotation. Blank means unknown; enter 0 only when supported.</t>
      </text>
    </comment>
    <comment ref="F27" authorId="0" shapeId="0">
      <text>
        <t>Editable planning input. Supply a measured value, approved estimate or supplier quotation. Blank means unknown; enter 0 only when supported.</t>
      </text>
    </comment>
    <comment ref="G27" authorId="0" shapeId="0">
      <text>
        <t>Editable planning input. Supply a measured value, approved estimate or supplier quotation. Blank means unknown; enter 0 only when supported.</t>
      </text>
    </comment>
    <comment ref="B28" authorId="0" shapeId="0">
      <text>
        <t>Editable planning input. Supply a measured value, approved estimate or supplier quotation. Blank means unknown; enter 0 only when supported.</t>
      </text>
    </comment>
    <comment ref="C28" authorId="0" shapeId="0">
      <text>
        <t>Editable planning input. Supply a measured value, approved estimate or supplier quotation. Blank means unknown; enter 0 only when supported.</t>
      </text>
    </comment>
    <comment ref="F28" authorId="0" shapeId="0">
      <text>
        <t>Editable planning input. Supply a measured value, approved estimate or supplier quotation. Blank means unknown; enter 0 only when supported.</t>
      </text>
    </comment>
    <comment ref="G28" authorId="0" shapeId="0">
      <text>
        <t>Editable planning input. Supply a measured value, approved estimate or supplier quotation. Blank means unknown; enter 0 only when supported.</t>
      </text>
    </comment>
    <comment ref="B29" authorId="0" shapeId="0">
      <text>
        <t>Editable planning input. Supply a measured value, approved estimate or supplier quotation. Blank means unknown; enter 0 only when supported.</t>
      </text>
    </comment>
    <comment ref="C29" authorId="0" shapeId="0">
      <text>
        <t>Editable planning input. Supply a measured value, approved estimate or supplier quotation. Blank means unknown; enter 0 only when supported.</t>
      </text>
    </comment>
    <comment ref="F29" authorId="0" shapeId="0">
      <text>
        <t>Editable planning input. Supply a measured value, approved estimate or supplier quotation. Blank means unknown; enter 0 only when supported.</t>
      </text>
    </comment>
    <comment ref="G29" authorId="0" shapeId="0">
      <text>
        <t>Editable planning input. Supply a measured value, approved estimate or supplier quotation. Blank means unknown; enter 0 only when supported.</t>
      </text>
    </comment>
  </commentList>
</comments>
</file>

<file path=xl/comments/comment3.xml><?xml version="1.0" encoding="utf-8"?>
<comments xmlns="http://schemas.openxmlformats.org/spreadsheetml/2006/main">
  <authors>
    <author>SiteTrace CBA</author>
  </authors>
  <commentList>
    <comment ref="B7" authorId="0" shapeId="0">
      <text>
        <t>Editable planning input. Supply a measured value, approved estimate or supplier quotation. Blank means unknown; enter 0 only when supported.</t>
      </text>
    </comment>
    <comment ref="C7" authorId="0" shapeId="0">
      <text>
        <t>Editable planning input. Supply a measured value, approved estimate or supplier quotation. Blank means unknown; enter 0 only when supported.</t>
      </text>
    </comment>
    <comment ref="D7" authorId="0" shapeId="0">
      <text>
        <t>Editable planning input. Supply a measured value, approved estimate or supplier quotation. Blank means unknown; enter 0 only when supported.</t>
      </text>
    </comment>
    <comment ref="F7" authorId="0" shapeId="0">
      <text>
        <t>Editable planning input. Supply a measured value, approved estimate or supplier quotation. Blank means unknown; enter 0 only when supported.</t>
      </text>
    </comment>
    <comment ref="G7" authorId="0" shapeId="0">
      <text>
        <t>Editable planning input. Supply a measured value, approved estimate or supplier quotation. Blank means unknown; enter 0 only when supported.</t>
      </text>
    </comment>
    <comment ref="B8" authorId="0" shapeId="0">
      <text>
        <t>Editable planning input. Supply a measured value, approved estimate or supplier quotation. Blank means unknown; enter 0 only when supported.</t>
      </text>
    </comment>
    <comment ref="C8" authorId="0" shapeId="0">
      <text>
        <t>Editable planning input. Supply a measured value, approved estimate or supplier quotation. Blank means unknown; enter 0 only when supported.</t>
      </text>
    </comment>
    <comment ref="D8" authorId="0" shapeId="0">
      <text>
        <t>Editable planning input. Supply a measured value, approved estimate or supplier quotation. Blank means unknown; enter 0 only when supported.</t>
      </text>
    </comment>
    <comment ref="F8" authorId="0" shapeId="0">
      <text>
        <t>Editable planning input. Supply a measured value, approved estimate or supplier quotation. Blank means unknown; enter 0 only when supported.</t>
      </text>
    </comment>
    <comment ref="G8" authorId="0" shapeId="0">
      <text>
        <t>Editable planning input. Supply a measured value, approved estimate or supplier quotation. Blank means unknown; enter 0 only when supported.</t>
      </text>
    </comment>
    <comment ref="B9" authorId="0" shapeId="0">
      <text>
        <t>Editable planning input. Supply a measured value, approved estimate or supplier quotation. Blank means unknown; enter 0 only when supported.</t>
      </text>
    </comment>
    <comment ref="C9" authorId="0" shapeId="0">
      <text>
        <t>Editable planning input. Supply a measured value, approved estimate or supplier quotation. Blank means unknown; enter 0 only when supported.</t>
      </text>
    </comment>
    <comment ref="D9" authorId="0" shapeId="0">
      <text>
        <t>Editable planning input. Supply a measured value, approved estimate or supplier quotation. Blank means unknown; enter 0 only when supported.</t>
      </text>
    </comment>
    <comment ref="F9" authorId="0" shapeId="0">
      <text>
        <t>Editable planning input. Supply a measured value, approved estimate or supplier quotation. Blank means unknown; enter 0 only when supported.</t>
      </text>
    </comment>
    <comment ref="G9" authorId="0" shapeId="0">
      <text>
        <t>Editable planning input. Supply a measured value, approved estimate or supplier quotation. Blank means unknown; enter 0 only when supported.</t>
      </text>
    </comment>
    <comment ref="B10" authorId="0" shapeId="0">
      <text>
        <t>Editable planning input. Supply a measured value, approved estimate or supplier quotation. Blank means unknown; enter 0 only when supported.</t>
      </text>
    </comment>
    <comment ref="C10" authorId="0" shapeId="0">
      <text>
        <t>Editable planning input. Supply a measured value, approved estimate or supplier quotation. Blank means unknown; enter 0 only when supported.</t>
      </text>
    </comment>
    <comment ref="D10" authorId="0" shapeId="0">
      <text>
        <t>Editable planning input. Supply a measured value, approved estimate or supplier quotation. Blank means unknown; enter 0 only when supported.</t>
      </text>
    </comment>
    <comment ref="F10" authorId="0" shapeId="0">
      <text>
        <t>Editable planning input. Supply a measured value, approved estimate or supplier quotation. Blank means unknown; enter 0 only when supported.</t>
      </text>
    </comment>
    <comment ref="G10" authorId="0" shapeId="0">
      <text>
        <t>Editable planning input. Supply a measured value, approved estimate or supplier quotation. Blank means unknown; enter 0 only when supported.</t>
      </text>
    </comment>
    <comment ref="B11" authorId="0" shapeId="0">
      <text>
        <t>Editable planning input. Supply a measured value, approved estimate or supplier quotation. Blank means unknown; enter 0 only when supported.</t>
      </text>
    </comment>
    <comment ref="C11" authorId="0" shapeId="0">
      <text>
        <t>Editable planning input. Supply a measured value, approved estimate or supplier quotation. Blank means unknown; enter 0 only when supported.</t>
      </text>
    </comment>
    <comment ref="D11" authorId="0" shapeId="0">
      <text>
        <t>Editable planning input. Supply a measured value, approved estimate or supplier quotation. Blank means unknown; enter 0 only when supported.</t>
      </text>
    </comment>
    <comment ref="F11" authorId="0" shapeId="0">
      <text>
        <t>Editable planning input. Supply a measured value, approved estimate or supplier quotation. Blank means unknown; enter 0 only when supported.</t>
      </text>
    </comment>
    <comment ref="G11" authorId="0" shapeId="0">
      <text>
        <t>Editable planning input. Supply a measured value, approved estimate or supplier quotation. Blank means unknown; enter 0 only when supported.</t>
      </text>
    </comment>
    <comment ref="B12" authorId="0" shapeId="0">
      <text>
        <t>Editable planning input. Supply a measured value, approved estimate or supplier quotation. Blank means unknown; enter 0 only when supported.</t>
      </text>
    </comment>
    <comment ref="C12" authorId="0" shapeId="0">
      <text>
        <t>Editable planning input. Supply a measured value, approved estimate or supplier quotation. Blank means unknown; enter 0 only when supported.</t>
      </text>
    </comment>
    <comment ref="D12" authorId="0" shapeId="0">
      <text>
        <t>Editable planning input. Supply a measured value, approved estimate or supplier quotation. Blank means unknown; enter 0 only when supported.</t>
      </text>
    </comment>
    <comment ref="F12" authorId="0" shapeId="0">
      <text>
        <t>Editable planning input. Supply a measured value, approved estimate or supplier quotation. Blank means unknown; enter 0 only when supported.</t>
      </text>
    </comment>
    <comment ref="G12" authorId="0" shapeId="0">
      <text>
        <t>Editable planning input. Supply a measured value, approved estimate or supplier quotation. Blank means unknown; enter 0 only when supported.</t>
      </text>
    </comment>
    <comment ref="B13" authorId="0" shapeId="0">
      <text>
        <t>Editable planning input. Supply a measured value, approved estimate or supplier quotation. Blank means unknown; enter 0 only when supported.</t>
      </text>
    </comment>
    <comment ref="C13" authorId="0" shapeId="0">
      <text>
        <t>Editable planning input. Supply a measured value, approved estimate or supplier quotation. Blank means unknown; enter 0 only when supported.</t>
      </text>
    </comment>
    <comment ref="D13" authorId="0" shapeId="0">
      <text>
        <t>Editable planning input. Supply a measured value, approved estimate or supplier quotation. Blank means unknown; enter 0 only when supported.</t>
      </text>
    </comment>
    <comment ref="F13" authorId="0" shapeId="0">
      <text>
        <t>Editable planning input. Supply a measured value, approved estimate or supplier quotation. Blank means unknown; enter 0 only when supported.</t>
      </text>
    </comment>
    <comment ref="G13" authorId="0" shapeId="0">
      <text>
        <t>Editable planning input. Supply a measured value, approved estimate or supplier quotation. Blank means unknown; enter 0 only when supported.</t>
      </text>
    </comment>
    <comment ref="B14" authorId="0" shapeId="0">
      <text>
        <t>Editable planning input. Supply a measured value, approved estimate or supplier quotation. Blank means unknown; enter 0 only when supported.</t>
      </text>
    </comment>
    <comment ref="C14" authorId="0" shapeId="0">
      <text>
        <t>Editable planning input. Supply a measured value, approved estimate or supplier quotation. Blank means unknown; enter 0 only when supported.</t>
      </text>
    </comment>
    <comment ref="D14" authorId="0" shapeId="0">
      <text>
        <t>Editable planning input. Supply a measured value, approved estimate or supplier quotation. Blank means unknown; enter 0 only when supported.</t>
      </text>
    </comment>
    <comment ref="F14" authorId="0" shapeId="0">
      <text>
        <t>Editable planning input. Supply a measured value, approved estimate or supplier quotation. Blank means unknown; enter 0 only when supported.</t>
      </text>
    </comment>
    <comment ref="G14" authorId="0" shapeId="0">
      <text>
        <t>Editable planning input. Supply a measured value, approved estimate or supplier quotation. Blank means unknown; enter 0 only when supported.</t>
      </text>
    </comment>
  </commentList>
</comments>
</file>

<file path=xl/comments/comment4.xml><?xml version="1.0" encoding="utf-8"?>
<comments xmlns="http://schemas.openxmlformats.org/spreadsheetml/2006/main">
  <authors>
    <author>SiteTrace CBA</author>
  </authors>
  <commentList>
    <comment ref="B7" authorId="0" shapeId="0">
      <text>
        <t>Editable planning input. Supply a measured value, approved estimate or supplier quotation. Blank means unknown; enter 0 only when supported.</t>
      </text>
    </comment>
    <comment ref="C7" authorId="0" shapeId="0">
      <text>
        <t>Editable planning input. Supply a measured value, approved estimate or supplier quotation. Blank means unknown; enter 0 only when supported.</t>
      </text>
    </comment>
    <comment ref="D7" authorId="0" shapeId="0">
      <text>
        <t>Editable planning input. Supply a measured value, approved estimate or supplier quotation. Blank means unknown; enter 0 only when supported.</t>
      </text>
    </comment>
    <comment ref="E7" authorId="0" shapeId="0">
      <text>
        <t>Editable planning input. Supply a measured value, approved estimate or supplier quotation. Blank means unknown; enter 0 only when supported.</t>
      </text>
    </comment>
    <comment ref="H7" authorId="0" shapeId="0">
      <text>
        <t>Editable planning input. Supply a measured value, approved estimate or supplier quotation. Blank means unknown; enter 0 only when supported.</t>
      </text>
    </comment>
    <comment ref="I7" authorId="0" shapeId="0">
      <text>
        <t>Editable planning input. Supply a measured value, approved estimate or supplier quotation. Blank means unknown; enter 0 only when supported.</t>
      </text>
    </comment>
    <comment ref="B8" authorId="0" shapeId="0">
      <text>
        <t>Editable planning input. Supply a measured value, approved estimate or supplier quotation. Blank means unknown; enter 0 only when supported.</t>
      </text>
    </comment>
    <comment ref="C8" authorId="0" shapeId="0">
      <text>
        <t>Editable planning input. Supply a measured value, approved estimate or supplier quotation. Blank means unknown; enter 0 only when supported.</t>
      </text>
    </comment>
    <comment ref="D8" authorId="0" shapeId="0">
      <text>
        <t>Editable planning input. Supply a measured value, approved estimate or supplier quotation. Blank means unknown; enter 0 only when supported.</t>
      </text>
    </comment>
    <comment ref="E8" authorId="0" shapeId="0">
      <text>
        <t>Editable planning input. Supply a measured value, approved estimate or supplier quotation. Blank means unknown; enter 0 only when supported.</t>
      </text>
    </comment>
    <comment ref="H8" authorId="0" shapeId="0">
      <text>
        <t>Editable planning input. Supply a measured value, approved estimate or supplier quotation. Blank means unknown; enter 0 only when supported.</t>
      </text>
    </comment>
    <comment ref="I8" authorId="0" shapeId="0">
      <text>
        <t>Editable planning input. Supply a measured value, approved estimate or supplier quotation. Blank means unknown; enter 0 only when supported.</t>
      </text>
    </comment>
    <comment ref="B9" authorId="0" shapeId="0">
      <text>
        <t>Editable planning input. Supply a measured value, approved estimate or supplier quotation. Blank means unknown; enter 0 only when supported.</t>
      </text>
    </comment>
    <comment ref="C9" authorId="0" shapeId="0">
      <text>
        <t>Editable planning input. Supply a measured value, approved estimate or supplier quotation. Blank means unknown; enter 0 only when supported.</t>
      </text>
    </comment>
    <comment ref="D9" authorId="0" shapeId="0">
      <text>
        <t>Editable planning input. Supply a measured value, approved estimate or supplier quotation. Blank means unknown; enter 0 only when supported.</t>
      </text>
    </comment>
    <comment ref="E9" authorId="0" shapeId="0">
      <text>
        <t>Editable planning input. Supply a measured value, approved estimate or supplier quotation. Blank means unknown; enter 0 only when supported.</t>
      </text>
    </comment>
    <comment ref="H9" authorId="0" shapeId="0">
      <text>
        <t>Editable planning input. Supply a measured value, approved estimate or supplier quotation. Blank means unknown; enter 0 only when supported.</t>
      </text>
    </comment>
    <comment ref="I9" authorId="0" shapeId="0">
      <text>
        <t>Editable planning input. Supply a measured value, approved estimate or supplier quotation. Blank means unknown; enter 0 only when supported.</t>
      </text>
    </comment>
    <comment ref="B10" authorId="0" shapeId="0">
      <text>
        <t>Editable planning input. Supply a measured value, approved estimate or supplier quotation. Blank means unknown; enter 0 only when supported.</t>
      </text>
    </comment>
    <comment ref="C10" authorId="0" shapeId="0">
      <text>
        <t>Editable planning input. Supply a measured value, approved estimate or supplier quotation. Blank means unknown; enter 0 only when supported.</t>
      </text>
    </comment>
    <comment ref="D10" authorId="0" shapeId="0">
      <text>
        <t>Editable planning input. Supply a measured value, approved estimate or supplier quotation. Blank means unknown; enter 0 only when supported.</t>
      </text>
    </comment>
    <comment ref="E10" authorId="0" shapeId="0">
      <text>
        <t>Editable planning input. Supply a measured value, approved estimate or supplier quotation. Blank means unknown; enter 0 only when supported.</t>
      </text>
    </comment>
    <comment ref="H10" authorId="0" shapeId="0">
      <text>
        <t>Editable planning input. Supply a measured value, approved estimate or supplier quotation. Blank means unknown; enter 0 only when supported.</t>
      </text>
    </comment>
    <comment ref="I10" authorId="0" shapeId="0">
      <text>
        <t>Editable planning input. Supply a measured value, approved estimate or supplier quotation. Blank means unknown; enter 0 only when supported.</t>
      </text>
    </comment>
    <comment ref="B17" authorId="0" shapeId="0">
      <text>
        <t>Editable planning input. Supply a measured value, approved estimate or supplier quotation. Blank means unknown; enter 0 only when supported.</t>
      </text>
    </comment>
    <comment ref="C17" authorId="0" shapeId="0">
      <text>
        <t>Editable planning input. Supply a measured value, approved estimate or supplier quotation. Blank means unknown; enter 0 only when supported.</t>
      </text>
    </comment>
    <comment ref="D17" authorId="0" shapeId="0">
      <text>
        <t>Editable planning input. Supply a measured value, approved estimate or supplier quotation. Blank means unknown; enter 0 only when supported.</t>
      </text>
    </comment>
    <comment ref="F17" authorId="0" shapeId="0">
      <text>
        <t>Editable planning input. Supply a measured value, approved estimate or supplier quotation. Blank means unknown; enter 0 only when supported.</t>
      </text>
    </comment>
    <comment ref="H17" authorId="0" shapeId="0">
      <text>
        <t>Editable planning input. Supply a measured value, approved estimate or supplier quotation. Blank means unknown; enter 0 only when supported.</t>
      </text>
    </comment>
    <comment ref="I17" authorId="0" shapeId="0">
      <text>
        <t>Editable planning input. Supply a measured value, approved estimate or supplier quotation. Blank means unknown; enter 0 only when supported.</t>
      </text>
    </comment>
    <comment ref="B18" authorId="0" shapeId="0">
      <text>
        <t>Editable planning input. Supply a measured value, approved estimate or supplier quotation. Blank means unknown; enter 0 only when supported.</t>
      </text>
    </comment>
    <comment ref="C18" authorId="0" shapeId="0">
      <text>
        <t>Editable planning input. Supply a measured value, approved estimate or supplier quotation. Blank means unknown; enter 0 only when supported.</t>
      </text>
    </comment>
    <comment ref="D18" authorId="0" shapeId="0">
      <text>
        <t>Editable planning input. Supply a measured value, approved estimate or supplier quotation. Blank means unknown; enter 0 only when supported.</t>
      </text>
    </comment>
    <comment ref="F18" authorId="0" shapeId="0">
      <text>
        <t>Editable planning input. Supply a measured value, approved estimate or supplier quotation. Blank means unknown; enter 0 only when supported.</t>
      </text>
    </comment>
    <comment ref="H18" authorId="0" shapeId="0">
      <text>
        <t>Editable planning input. Supply a measured value, approved estimate or supplier quotation. Blank means unknown; enter 0 only when supported.</t>
      </text>
    </comment>
    <comment ref="I18" authorId="0" shapeId="0">
      <text>
        <t>Editable planning input. Supply a measured value, approved estimate or supplier quotation. Blank means unknown; enter 0 only when supported.</t>
      </text>
    </comment>
    <comment ref="B19" authorId="0" shapeId="0">
      <text>
        <t>Editable planning input. Supply a measured value, approved estimate or supplier quotation. Blank means unknown; enter 0 only when supported.</t>
      </text>
    </comment>
    <comment ref="C19" authorId="0" shapeId="0">
      <text>
        <t>Editable planning input. Supply a measured value, approved estimate or supplier quotation. Blank means unknown; enter 0 only when supported.</t>
      </text>
    </comment>
    <comment ref="D19" authorId="0" shapeId="0">
      <text>
        <t>Editable planning input. Supply a measured value, approved estimate or supplier quotation. Blank means unknown; enter 0 only when supported.</t>
      </text>
    </comment>
    <comment ref="F19" authorId="0" shapeId="0">
      <text>
        <t>Editable planning input. Supply a measured value, approved estimate or supplier quotation. Blank means unknown; enter 0 only when supported.</t>
      </text>
    </comment>
    <comment ref="H19" authorId="0" shapeId="0">
      <text>
        <t>Editable planning input. Supply a measured value, approved estimate or supplier quotation. Blank means unknown; enter 0 only when supported.</t>
      </text>
    </comment>
    <comment ref="I19" authorId="0" shapeId="0">
      <text>
        <t>Editable planning input. Supply a measured value, approved estimate or supplier quotation. Blank means unknown; enter 0 only when supported.</t>
      </text>
    </comment>
    <comment ref="B20" authorId="0" shapeId="0">
      <text>
        <t>Editable planning input. Supply a measured value, approved estimate or supplier quotation. Blank means unknown; enter 0 only when supported.</t>
      </text>
    </comment>
    <comment ref="C20" authorId="0" shapeId="0">
      <text>
        <t>Editable planning input. Supply a measured value, approved estimate or supplier quotation. Blank means unknown; enter 0 only when supported.</t>
      </text>
    </comment>
    <comment ref="D20" authorId="0" shapeId="0">
      <text>
        <t>Editable planning input. Supply a measured value, approved estimate or supplier quotation. Blank means unknown; enter 0 only when supported.</t>
      </text>
    </comment>
    <comment ref="F20" authorId="0" shapeId="0">
      <text>
        <t>Editable planning input. Supply a measured value, approved estimate or supplier quotation. Blank means unknown; enter 0 only when supported.</t>
      </text>
    </comment>
    <comment ref="H20" authorId="0" shapeId="0">
      <text>
        <t>Editable planning input. Supply a measured value, approved estimate or supplier quotation. Blank means unknown; enter 0 only when supported.</t>
      </text>
    </comment>
    <comment ref="I20" authorId="0" shapeId="0">
      <text>
        <t>Editable planning input. Supply a measured value, approved estimate or supplier quotation. Blank means unknown; enter 0 only when supported.</t>
      </text>
    </comment>
    <comment ref="B21" authorId="0" shapeId="0">
      <text>
        <t>Editable planning input. Supply a measured value, approved estimate or supplier quotation. Blank means unknown; enter 0 only when supported.</t>
      </text>
    </comment>
    <comment ref="C21" authorId="0" shapeId="0">
      <text>
        <t>Editable planning input. Supply a measured value, approved estimate or supplier quotation. Blank means unknown; enter 0 only when supported.</t>
      </text>
    </comment>
    <comment ref="D21" authorId="0" shapeId="0">
      <text>
        <t>Editable planning input. Supply a measured value, approved estimate or supplier quotation. Blank means unknown; enter 0 only when supported.</t>
      </text>
    </comment>
    <comment ref="F21" authorId="0" shapeId="0">
      <text>
        <t>Editable planning input. Supply a measured value, approved estimate or supplier quotation. Blank means unknown; enter 0 only when supported.</t>
      </text>
    </comment>
    <comment ref="H21" authorId="0" shapeId="0">
      <text>
        <t>Editable planning input. Supply a measured value, approved estimate or supplier quotation. Blank means unknown; enter 0 only when supported.</t>
      </text>
    </comment>
    <comment ref="I21" authorId="0" shapeId="0">
      <text>
        <t>Editable planning input. Supply a measured value, approved estimate or supplier quotation. Blank means unknown; enter 0 only when supported.</t>
      </text>
    </comment>
    <comment ref="B22" authorId="0" shapeId="0">
      <text>
        <t>Editable planning input. Supply a measured value, approved estimate or supplier quotation. Blank means unknown; enter 0 only when supported.</t>
      </text>
    </comment>
    <comment ref="C22" authorId="0" shapeId="0">
      <text>
        <t>Editable planning input. Supply a measured value, approved estimate or supplier quotation. Blank means unknown; enter 0 only when supported.</t>
      </text>
    </comment>
    <comment ref="D22" authorId="0" shapeId="0">
      <text>
        <t>Editable planning input. Supply a measured value, approved estimate or supplier quotation. Blank means unknown; enter 0 only when supported.</t>
      </text>
    </comment>
    <comment ref="F22" authorId="0" shapeId="0">
      <text>
        <t>Editable planning input. Supply a measured value, approved estimate or supplier quotation. Blank means unknown; enter 0 only when supported.</t>
      </text>
    </comment>
    <comment ref="H22" authorId="0" shapeId="0">
      <text>
        <t>Editable planning input. Supply a measured value, approved estimate or supplier quotation. Blank means unknown; enter 0 only when supported.</t>
      </text>
    </comment>
    <comment ref="I22" authorId="0" shapeId="0">
      <text>
        <t>Editable planning input. Supply a measured value, approved estimate or supplier quotation. Blank means unknown; enter 0 only when supported.</t>
      </text>
    </comment>
    <comment ref="B23" authorId="0" shapeId="0">
      <text>
        <t>Editable planning input. Supply a measured value, approved estimate or supplier quotation. Blank means unknown; enter 0 only when supported.</t>
      </text>
    </comment>
    <comment ref="C23" authorId="0" shapeId="0">
      <text>
        <t>Editable planning input. Supply a measured value, approved estimate or supplier quotation. Blank means unknown; enter 0 only when supported.</t>
      </text>
    </comment>
    <comment ref="D23" authorId="0" shapeId="0">
      <text>
        <t>Editable planning input. Supply a measured value, approved estimate or supplier quotation. Blank means unknown; enter 0 only when supported.</t>
      </text>
    </comment>
    <comment ref="F23" authorId="0" shapeId="0">
      <text>
        <t>Editable planning input. Supply a measured value, approved estimate or supplier quotation. Blank means unknown; enter 0 only when supported.</t>
      </text>
    </comment>
    <comment ref="H23" authorId="0" shapeId="0">
      <text>
        <t>Editable planning input. Supply a measured value, approved estimate or supplier quotation. Blank means unknown; enter 0 only when supported.</t>
      </text>
    </comment>
    <comment ref="I23" authorId="0" shapeId="0">
      <text>
        <t>Editable planning input. Supply a measured value, approved estimate or supplier quotation. Blank means unknown; enter 0 only when supported.</t>
      </text>
    </comment>
    <comment ref="B24" authorId="0" shapeId="0">
      <text>
        <t>Editable planning input. Supply a measured value, approved estimate or supplier quotation. Blank means unknown; enter 0 only when supported.</t>
      </text>
    </comment>
    <comment ref="C24" authorId="0" shapeId="0">
      <text>
        <t>Editable planning input. Supply a measured value, approved estimate or supplier quotation. Blank means unknown; enter 0 only when supported.</t>
      </text>
    </comment>
    <comment ref="D24" authorId="0" shapeId="0">
      <text>
        <t>Editable planning input. Supply a measured value, approved estimate or supplier quotation. Blank means unknown; enter 0 only when supported.</t>
      </text>
    </comment>
    <comment ref="F24" authorId="0" shapeId="0">
      <text>
        <t>Editable planning input. Supply a measured value, approved estimate or supplier quotation. Blank means unknown; enter 0 only when supported.</t>
      </text>
    </comment>
    <comment ref="H24" authorId="0" shapeId="0">
      <text>
        <t>Editable planning input. Supply a measured value, approved estimate or supplier quotation. Blank means unknown; enter 0 only when supported.</t>
      </text>
    </comment>
    <comment ref="I24" authorId="0" shapeId="0">
      <text>
        <t>Editable planning input. Supply a measured value, approved estimate or supplier quotation. Blank means unknown; enter 0 only when supported.</t>
      </text>
    </comment>
    <comment ref="E33" authorId="0" shapeId="0">
      <text>
        <t>Editable planning input. Supply a measured value, approved estimate or supplier quotation. Blank means unknown; enter 0 only when supported.</t>
      </text>
    </comment>
  </commentList>
</comments>
</file>

<file path=xl/comments/comment5.xml><?xml version="1.0" encoding="utf-8"?>
<comments xmlns="http://schemas.openxmlformats.org/spreadsheetml/2006/main">
  <authors>
    <author>SiteTrace CBA</author>
  </authors>
  <commentList>
    <comment ref="B7" authorId="0" shapeId="0">
      <text>
        <t>Editable planning input. Supply a measured value, approved estimate or supplier quotation. Blank means unknown; enter 0 only when supported.</t>
      </text>
    </comment>
    <comment ref="C7" authorId="0" shapeId="0">
      <text>
        <t>Editable planning input. Supply a measured value, approved estimate or supplier quotation. Blank means unknown; enter 0 only when supported.</t>
      </text>
    </comment>
    <comment ref="H7" authorId="0" shapeId="0">
      <text>
        <t>Editable planning input. Supply a measured value, approved estimate or supplier quotation. Blank means unknown; enter 0 only when supported.</t>
      </text>
    </comment>
    <comment ref="I7" authorId="0" shapeId="0">
      <text>
        <t>Editable planning input. Supply a measured value, approved estimate or supplier quotation. Blank means unknown; enter 0 only when supported.</t>
      </text>
    </comment>
    <comment ref="B8" authorId="0" shapeId="0">
      <text>
        <t>Editable planning input. Supply a measured value, approved estimate or supplier quotation. Blank means unknown; enter 0 only when supported.</t>
      </text>
    </comment>
    <comment ref="C8" authorId="0" shapeId="0">
      <text>
        <t>Editable planning input. Supply a measured value, approved estimate or supplier quotation. Blank means unknown; enter 0 only when supported.</t>
      </text>
    </comment>
    <comment ref="H8" authorId="0" shapeId="0">
      <text>
        <t>Editable planning input. Supply a measured value, approved estimate or supplier quotation. Blank means unknown; enter 0 only when supported.</t>
      </text>
    </comment>
    <comment ref="I8" authorId="0" shapeId="0">
      <text>
        <t>Editable planning input. Supply a measured value, approved estimate or supplier quotation. Blank means unknown; enter 0 only when supported.</t>
      </text>
    </comment>
    <comment ref="B9" authorId="0" shapeId="0">
      <text>
        <t>Editable planning input. Supply a measured value, approved estimate or supplier quotation. Blank means unknown; enter 0 only when supported.</t>
      </text>
    </comment>
    <comment ref="C9" authorId="0" shapeId="0">
      <text>
        <t>Editable planning input. Supply a measured value, approved estimate or supplier quotation. Blank means unknown; enter 0 only when supported.</t>
      </text>
    </comment>
    <comment ref="H9" authorId="0" shapeId="0">
      <text>
        <t>Editable planning input. Supply a measured value, approved estimate or supplier quotation. Blank means unknown; enter 0 only when supported.</t>
      </text>
    </comment>
    <comment ref="I9" authorId="0" shapeId="0">
      <text>
        <t>Editable planning input. Supply a measured value, approved estimate or supplier quotation. Blank means unknown; enter 0 only when supported.</t>
      </text>
    </comment>
    <comment ref="B10" authorId="0" shapeId="0">
      <text>
        <t>Editable planning input. Supply a measured value, approved estimate or supplier quotation. Blank means unknown; enter 0 only when supported.</t>
      </text>
    </comment>
    <comment ref="C10" authorId="0" shapeId="0">
      <text>
        <t>Editable planning input. Supply a measured value, approved estimate or supplier quotation. Blank means unknown; enter 0 only when supported.</t>
      </text>
    </comment>
    <comment ref="H10" authorId="0" shapeId="0">
      <text>
        <t>Editable planning input. Supply a measured value, approved estimate or supplier quotation. Blank means unknown; enter 0 only when supported.</t>
      </text>
    </comment>
    <comment ref="I10" authorId="0" shapeId="0">
      <text>
        <t>Editable planning input. Supply a measured value, approved estimate or supplier quotation. Blank means unknown; enter 0 only when supported.</t>
      </text>
    </comment>
    <comment ref="B17" authorId="0" shapeId="0">
      <text>
        <t>Editable planning input. Supply a measured value, approved estimate or supplier quotation. Blank means unknown; enter 0 only when supported.</t>
      </text>
    </comment>
    <comment ref="C17" authorId="0" shapeId="0">
      <text>
        <t>Editable planning input. Supply a measured value, approved estimate or supplier quotation. Blank means unknown; enter 0 only when supported.</t>
      </text>
    </comment>
    <comment ref="D17" authorId="0" shapeId="0">
      <text>
        <t>Editable planning input. Supply a measured value, approved estimate or supplier quotation. Blank means unknown; enter 0 only when supported.</t>
      </text>
    </comment>
    <comment ref="F17" authorId="0" shapeId="0">
      <text>
        <t>Editable planning input. Supply a measured value, approved estimate or supplier quotation. Blank means unknown; enter 0 only when supported.</t>
      </text>
    </comment>
    <comment ref="H17" authorId="0" shapeId="0">
      <text>
        <t>Editable planning input. Supply a measured value, approved estimate or supplier quotation. Blank means unknown; enter 0 only when supported.</t>
      </text>
    </comment>
    <comment ref="I17" authorId="0" shapeId="0">
      <text>
        <t>Editable planning input. Supply a measured value, approved estimate or supplier quotation. Blank means unknown; enter 0 only when supported.</t>
      </text>
    </comment>
    <comment ref="B18" authorId="0" shapeId="0">
      <text>
        <t>Editable planning input. Supply a measured value, approved estimate or supplier quotation. Blank means unknown; enter 0 only when supported.</t>
      </text>
    </comment>
    <comment ref="C18" authorId="0" shapeId="0">
      <text>
        <t>Editable planning input. Supply a measured value, approved estimate or supplier quotation. Blank means unknown; enter 0 only when supported.</t>
      </text>
    </comment>
    <comment ref="D18" authorId="0" shapeId="0">
      <text>
        <t>Editable planning input. Supply a measured value, approved estimate or supplier quotation. Blank means unknown; enter 0 only when supported.</t>
      </text>
    </comment>
    <comment ref="F18" authorId="0" shapeId="0">
      <text>
        <t>Editable planning input. Supply a measured value, approved estimate or supplier quotation. Blank means unknown; enter 0 only when supported.</t>
      </text>
    </comment>
    <comment ref="H18" authorId="0" shapeId="0">
      <text>
        <t>Editable planning input. Supply a measured value, approved estimate or supplier quotation. Blank means unknown; enter 0 only when supported.</t>
      </text>
    </comment>
    <comment ref="I18" authorId="0" shapeId="0">
      <text>
        <t>Editable planning input. Supply a measured value, approved estimate or supplier quotation. Blank means unknown; enter 0 only when supported.</t>
      </text>
    </comment>
    <comment ref="B19" authorId="0" shapeId="0">
      <text>
        <t>Editable planning input. Supply a measured value, approved estimate or supplier quotation. Blank means unknown; enter 0 only when supported.</t>
      </text>
    </comment>
    <comment ref="C19" authorId="0" shapeId="0">
      <text>
        <t>Editable planning input. Supply a measured value, approved estimate or supplier quotation. Blank means unknown; enter 0 only when supported.</t>
      </text>
    </comment>
    <comment ref="D19" authorId="0" shapeId="0">
      <text>
        <t>Editable planning input. Supply a measured value, approved estimate or supplier quotation. Blank means unknown; enter 0 only when supported.</t>
      </text>
    </comment>
    <comment ref="F19" authorId="0" shapeId="0">
      <text>
        <t>Editable planning input. Supply a measured value, approved estimate or supplier quotation. Blank means unknown; enter 0 only when supported.</t>
      </text>
    </comment>
    <comment ref="H19" authorId="0" shapeId="0">
      <text>
        <t>Editable planning input. Supply a measured value, approved estimate or supplier quotation. Blank means unknown; enter 0 only when supported.</t>
      </text>
    </comment>
    <comment ref="I19" authorId="0" shapeId="0">
      <text>
        <t>Editable planning input. Supply a measured value, approved estimate or supplier quotation. Blank means unknown; enter 0 only when supported.</t>
      </text>
    </comment>
    <comment ref="B20" authorId="0" shapeId="0">
      <text>
        <t>Editable planning input. Supply a measured value, approved estimate or supplier quotation. Blank means unknown; enter 0 only when supported.</t>
      </text>
    </comment>
    <comment ref="C20" authorId="0" shapeId="0">
      <text>
        <t>Editable planning input. Supply a measured value, approved estimate or supplier quotation. Blank means unknown; enter 0 only when supported.</t>
      </text>
    </comment>
    <comment ref="D20" authorId="0" shapeId="0">
      <text>
        <t>Editable planning input. Supply a measured value, approved estimate or supplier quotation. Blank means unknown; enter 0 only when supported.</t>
      </text>
    </comment>
    <comment ref="F20" authorId="0" shapeId="0">
      <text>
        <t>Editable planning input. Supply a measured value, approved estimate or supplier quotation. Blank means unknown; enter 0 only when supported.</t>
      </text>
    </comment>
    <comment ref="H20" authorId="0" shapeId="0">
      <text>
        <t>Editable planning input. Supply a measured value, approved estimate or supplier quotation. Blank means unknown; enter 0 only when supported.</t>
      </text>
    </comment>
    <comment ref="I20" authorId="0" shapeId="0">
      <text>
        <t>Editable planning input. Supply a measured value, approved estimate or supplier quotation. Blank means unknown; enter 0 only when supported.</t>
      </text>
    </comment>
    <comment ref="B21" authorId="0" shapeId="0">
      <text>
        <t>Editable planning input. Supply a measured value, approved estimate or supplier quotation. Blank means unknown; enter 0 only when supported.</t>
      </text>
    </comment>
    <comment ref="C21" authorId="0" shapeId="0">
      <text>
        <t>Editable planning input. Supply a measured value, approved estimate or supplier quotation. Blank means unknown; enter 0 only when supported.</t>
      </text>
    </comment>
    <comment ref="D21" authorId="0" shapeId="0">
      <text>
        <t>Editable planning input. Supply a measured value, approved estimate or supplier quotation. Blank means unknown; enter 0 only when supported.</t>
      </text>
    </comment>
    <comment ref="F21" authorId="0" shapeId="0">
      <text>
        <t>Editable planning input. Supply a measured value, approved estimate or supplier quotation. Blank means unknown; enter 0 only when supported.</t>
      </text>
    </comment>
    <comment ref="H21" authorId="0" shapeId="0">
      <text>
        <t>Editable planning input. Supply a measured value, approved estimate or supplier quotation. Blank means unknown; enter 0 only when supported.</t>
      </text>
    </comment>
    <comment ref="I21" authorId="0" shapeId="0">
      <text>
        <t>Editable planning input. Supply a measured value, approved estimate or supplier quotation. Blank means unknown; enter 0 only when supported.</t>
      </text>
    </comment>
    <comment ref="B22" authorId="0" shapeId="0">
      <text>
        <t>Editable planning input. Supply a measured value, approved estimate or supplier quotation. Blank means unknown; enter 0 only when supported.</t>
      </text>
    </comment>
    <comment ref="C22" authorId="0" shapeId="0">
      <text>
        <t>Editable planning input. Supply a measured value, approved estimate or supplier quotation. Blank means unknown; enter 0 only when supported.</t>
      </text>
    </comment>
    <comment ref="D22" authorId="0" shapeId="0">
      <text>
        <t>Editable planning input. Supply a measured value, approved estimate or supplier quotation. Blank means unknown; enter 0 only when supported.</t>
      </text>
    </comment>
    <comment ref="F22" authorId="0" shapeId="0">
      <text>
        <t>Editable planning input. Supply a measured value, approved estimate or supplier quotation. Blank means unknown; enter 0 only when supported.</t>
      </text>
    </comment>
    <comment ref="H22" authorId="0" shapeId="0">
      <text>
        <t>Editable planning input. Supply a measured value, approved estimate or supplier quotation. Blank means unknown; enter 0 only when supported.</t>
      </text>
    </comment>
    <comment ref="I22" authorId="0" shapeId="0">
      <text>
        <t>Editable planning input. Supply a measured value, approved estimate or supplier quotation. Blank means unknown; enter 0 only when supported.</t>
      </text>
    </comment>
    <comment ref="B23" authorId="0" shapeId="0">
      <text>
        <t>Editable planning input. Supply a measured value, approved estimate or supplier quotation. Blank means unknown; enter 0 only when supported.</t>
      </text>
    </comment>
    <comment ref="C23" authorId="0" shapeId="0">
      <text>
        <t>Editable planning input. Supply a measured value, approved estimate or supplier quotation. Blank means unknown; enter 0 only when supported.</t>
      </text>
    </comment>
    <comment ref="D23" authorId="0" shapeId="0">
      <text>
        <t>Editable planning input. Supply a measured value, approved estimate or supplier quotation. Blank means unknown; enter 0 only when supported.</t>
      </text>
    </comment>
    <comment ref="F23" authorId="0" shapeId="0">
      <text>
        <t>Editable planning input. Supply a measured value, approved estimate or supplier quotation. Blank means unknown; enter 0 only when supported.</t>
      </text>
    </comment>
    <comment ref="H23" authorId="0" shapeId="0">
      <text>
        <t>Editable planning input. Supply a measured value, approved estimate or supplier quotation. Blank means unknown; enter 0 only when supported.</t>
      </text>
    </comment>
    <comment ref="I23" authorId="0" shapeId="0">
      <text>
        <t>Editable planning input. Supply a measured value, approved estimate or supplier quotation. Blank means unknown; enter 0 only when supported.</t>
      </text>
    </comment>
    <comment ref="B24" authorId="0" shapeId="0">
      <text>
        <t>Editable planning input. Supply a measured value, approved estimate or supplier quotation. Blank means unknown; enter 0 only when supported.</t>
      </text>
    </comment>
    <comment ref="C24" authorId="0" shapeId="0">
      <text>
        <t>Editable planning input. Supply a measured value, approved estimate or supplier quotation. Blank means unknown; enter 0 only when supported.</t>
      </text>
    </comment>
    <comment ref="D24" authorId="0" shapeId="0">
      <text>
        <t>Editable planning input. Supply a measured value, approved estimate or supplier quotation. Blank means unknown; enter 0 only when supported.</t>
      </text>
    </comment>
    <comment ref="F24" authorId="0" shapeId="0">
      <text>
        <t>Editable planning input. Supply a measured value, approved estimate or supplier quotation. Blank means unknown; enter 0 only when supported.</t>
      </text>
    </comment>
    <comment ref="H24" authorId="0" shapeId="0">
      <text>
        <t>Editable planning input. Supply a measured value, approved estimate or supplier quotation. Blank means unknown; enter 0 only when supported.</t>
      </text>
    </comment>
    <comment ref="I24" authorId="0" shapeId="0">
      <text>
        <t>Editable planning input. Supply a measured value, approved estimate or supplier quotation. Blank means unknown; enter 0 only when supported.</t>
      </text>
    </comment>
  </commentList>
</comments>
</file>

<file path=xl/comments/comment6.xml><?xml version="1.0" encoding="utf-8"?>
<comments xmlns="http://schemas.openxmlformats.org/spreadsheetml/2006/main">
  <authors>
    <author>SiteTrace CBA</author>
  </authors>
  <commentList>
    <comment ref="G16" authorId="0" shapeId="0">
      <text>
        <t>Editable planning input. Supply a measured value, approved estimate or supplier quotation. Blank means unknown; enter 0 only when supported.</t>
      </text>
    </comment>
    <comment ref="J16" authorId="0" shapeId="0">
      <text>
        <t>Editable planning input. Supply a measured value, approved estimate or supplier quotation. Blank means unknown; enter 0 only when supported.</t>
      </text>
    </comment>
    <comment ref="G17" authorId="0" shapeId="0">
      <text>
        <t>Editable planning input. Supply a measured value, approved estimate or supplier quotation. Blank means unknown; enter 0 only when supported.</t>
      </text>
    </comment>
    <comment ref="J17" authorId="0" shapeId="0">
      <text>
        <t>Editable planning input. Supply a measured value, approved estimate or supplier quotation. Blank means unknown; enter 0 only when supported.</t>
      </text>
    </comment>
    <comment ref="G18" authorId="0" shapeId="0">
      <text>
        <t>Editable planning input. Supply a measured value, approved estimate or supplier quotation. Blank means unknown; enter 0 only when supported.</t>
      </text>
    </comment>
    <comment ref="J18" authorId="0" shapeId="0">
      <text>
        <t>Editable planning input. Supply a measured value, approved estimate or supplier quotation. Blank means unknown; enter 0 only when supported.</t>
      </text>
    </comment>
    <comment ref="G19" authorId="0" shapeId="0">
      <text>
        <t>Editable planning input. Supply a measured value, approved estimate or supplier quotation. Blank means unknown; enter 0 only when supported.</t>
      </text>
    </comment>
    <comment ref="J19" authorId="0" shapeId="0">
      <text>
        <t>Editable planning input. Supply a measured value, approved estimate or supplier quotation. Blank means unknown; enter 0 only when supported.</t>
      </text>
    </comment>
    <comment ref="C29" authorId="0" shapeId="0">
      <text>
        <t>Editable planning input. Supply a measured value, approved estimate or supplier quotation. Blank means unknown; enter 0 only when supported.</t>
      </text>
    </comment>
    <comment ref="D29" authorId="0" shapeId="0">
      <text>
        <t>Editable planning input. Supply a measured value, approved estimate or supplier quotation. Blank means unknown; enter 0 only when supported.</t>
      </text>
    </comment>
    <comment ref="C30" authorId="0" shapeId="0">
      <text>
        <t>Editable planning input. Supply a measured value, approved estimate or supplier quotation. Blank means unknown; enter 0 only when supported.</t>
      </text>
    </comment>
    <comment ref="D30" authorId="0" shapeId="0">
      <text>
        <t>Editable planning input. Supply a measured value, approved estimate or supplier quotation. Blank means unknown; enter 0 only when supported.</t>
      </text>
    </comment>
  </commentList>
</comments>
</file>

<file path=xl/comments/comment7.xml><?xml version="1.0" encoding="utf-8"?>
<comments xmlns="http://schemas.openxmlformats.org/spreadsheetml/2006/main">
  <authors>
    <author>SiteTrace CBA</author>
  </authors>
  <commentList>
    <comment ref="B9" authorId="0" shapeId="0">
      <text>
        <t>Editable planning input. Supply a measured value, approved estimate or supplier quotation. Blank means unknown; enter 0 only when supported.</t>
      </text>
    </comment>
    <comment ref="C9" authorId="0" shapeId="0">
      <text>
        <t>Editable planning input. Supply a measured value, approved estimate or supplier quotation. Blank means unknown; enter 0 only when supported.</t>
      </text>
    </comment>
    <comment ref="D9" authorId="0" shapeId="0">
      <text>
        <t>Editable planning input. Supply a measured value, approved estimate or supplier quotation. Blank means unknown; enter 0 only when supported.</t>
      </text>
    </comment>
    <comment ref="B10" authorId="0" shapeId="0">
      <text>
        <t>Editable planning input. Supply a measured value, approved estimate or supplier quotation. Blank means unknown; enter 0 only when supported.</t>
      </text>
    </comment>
    <comment ref="C10" authorId="0" shapeId="0">
      <text>
        <t>Editable planning input. Supply a measured value, approved estimate or supplier quotation. Blank means unknown; enter 0 only when supported.</t>
      </text>
    </comment>
    <comment ref="D10" authorId="0" shapeId="0">
      <text>
        <t>Editable planning input. Supply a measured value, approved estimate or supplier quotation. Blank means unknown; enter 0 only when supported.</t>
      </text>
    </comment>
  </commentList>
</comments>
</file>

<file path=xl/comments/comment8.xml><?xml version="1.0" encoding="utf-8"?>
<comments xmlns="http://schemas.openxmlformats.org/spreadsheetml/2006/main">
  <authors>
    <author>SiteTrace CBA</author>
  </authors>
  <commentList>
    <comment ref="B8" authorId="0" shapeId="0">
      <text>
        <t>Editable planning input. Supply a measured value, approved estimate or supplier quotation. Blank means unknown; enter 0 only when supported.</t>
      </text>
    </comment>
    <comment ref="B9" authorId="0" shapeId="0">
      <text>
        <t>Editable planning input. Supply a measured value, approved estimate or supplier quotation. Blank means unknown; enter 0 only when supported.</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20</row>
      <rowOff>0</rowOff>
    </from>
    <ext cx="9000000" cy="298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L45"/>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4" customWidth="1" min="1" max="1"/>
    <ns0:col width="29" customWidth="1" min="2" max="2"/>
    <ns0:col width="10.5" customWidth="1" min="3" max="3"/>
    <ns0:col width="10" customWidth="1" min="4" max="4"/>
    <ns0:col width="10" customWidth="1" min="5" max="5"/>
    <ns0:col width="10" customWidth="1" min="6" max="6"/>
    <ns0:col width="13" customWidth="1" min="7" max="7"/>
    <ns0:col width="12" customWidth="1" min="8" max="8"/>
    <ns0:col width="15" customWidth="1" min="9" max="9"/>
    <ns0:col width="24" customWidth="1" min="10" max="10"/>
    <ns0:col width="22" customWidth="1" min="11" max="11"/>
    <ns0:col width="8" customWidth="1" min="12" max="12"/>
  </ns0:cols>
  <ns0:sheetData>
    <ns0:row r="1" ht="34.6" customHeight="1">
      <ns0:c r="A1" s="1" t="inlineStr">
        <ns0:is>
          <ns0:t>INVENTORY BASELINE</ns0:t>
        </ns0:is>
      </ns0:c>
    </ns0:row>
    <ns0:row r="2" ht="32" customHeight="1">
      <ns0:c r="A2" s="3" t="inlineStr">
        <ns0:is>
          <ns0:t>Actual quantities from the supplied, undated monitoring worksheet. Unit prices have not been supplied.</ns0:t>
        </ns0:is>
      </ns0:c>
    </ns0:row>
    <ns0:row r="3" ht="23" customHeight="1">
      <ns0:c r="A3" s="4" t="inlineStr">
        <ns0:is>
          <ns0:t>Blue cells: editable inputs | Gray: supplied data / fixed scope | Green text: formulas | Blank: unknown, never a verified zero</ns0:t>
        </ns0:is>
      </ns0:c>
    </ns0:row>
    <ns0:row r="4" ht="27" customHeight="1">
      <ns0:c r="A4" s="6" t="inlineStr">
        <ns0:is>
          <ns0:t>463 units are unreconciled / missing or without reports. This is not evidence that 463 units were physically lost, stolen or recoverable.</ns0:t>
        </ns0:is>
      </ns0:c>
    </ns0:row>
    <ns0:row r="5" ht="19" customHeight="1"/>
    <ns0:row r="6" ht="39" customHeight="1">
      <ns0:c r="A6" s="8" t="inlineStr">
        <ns0:is>
          <ns0:t>No.</ns0:t>
        </ns0:is>
      </ns0:c>
      <ns0:c r="B6" s="8" t="inlineStr">
        <ns0:is>
          <ns0:t>Equipment description</ns0:t>
        </ns0:is>
      </ns0:c>
      <ns0:c r="C6" s="8" t="inlineStr">
        <ns0:is>
          <ns0:t>Recorded qty.</ns0:t>
        </ns0:is>
      </ns0:c>
      <ns0:c r="D6" s="8" t="inlineStr">
        <ns0:is>
          <ns0:t>Need to comply</ns0:t>
        </ns0:is>
      </ns0:c>
      <ns0:c r="E6" s="8" t="inlineStr">
        <ns0:is>
          <ns0:t>Missing / no report</ns0:t>
        </ns0:is>
      </ns0:c>
      <ns0:c r="F6" s="8" t="inlineStr">
        <ns0:is>
          <ns0:t>Calculated gap</ns0:t>
        </ns0:is>
      </ns0:c>
      <ns0:c r="G6" s="8" t="inlineStr">
        <ns0:is>
          <ns0:t>Gap validation</ns0:t>
        </ns0:is>
      </ns0:c>
      <ns0:c r="H6" s="8" t="inlineStr">
        <ns0:is>
          <ns0:t>Est. unit price (₱)</ns0:t>
        </ns0:is>
      </ns0:c>
      <ns0:c r="I6" s="8" t="inlineStr">
        <ns0:is>
          <ns0:t>Potential exposure (₱)</ns0:t>
        </ns0:is>
      </ns0:c>
      <ns0:c r="J6" s="8" t="inlineStr">
        <ns0:is>
          <ns0:t>Reconciliation indicator</ns0:t>
        </ns0:is>
      </ns0:c>
      <ns0:c r="K6" s="8" t="inlineStr">
        <ns0:is>
          <ns0:t>Price source / date</ns0:t>
        </ns0:is>
      </ns0:c>
      <ns0:c r="L6" s="8" t="inlineStr">
        <ns0:is>
          <ns0:t>Source</ns0:t>
        </ns0:is>
      </ns0:c>
    </ns0:row>
    <ns0:row r="7" ht="39" customHeight="1">
      <ns0:c r="A7" s="9" t="n">
        <ns0:v>1</ns0:v>
      </ns0:c>
      <ns0:c r="B7" s="9" t="inlineStr">
        <ns0:is>
          <ns0:t>Shovel (Pala, Lapad)</ns0:t>
        </ns0:is>
      </ns0:c>
      <ns0:c r="C7" s="10" t="n">
        <ns0:v>19</ns0:v>
      </ns0:c>
      <ns0:c r="D7" s="10" t="n"/>
      <ns0:c r="E7" s="10" t="n"/>
      <ns0:c r="F7" s="11" t="str">
        <ns0:f>IF(ISNUMBER(D7),MAX(D7-C7,0),"")</ns0:f>
        <ns0:v/>
      </ns0:c>
      <ns0:c r="G7" s="12" t="str">
        <ns0:f>IF(D7="","Not supplied",IF(E7="","No reported gap",IF(F7=E7,"Match","Mismatch")))</ns0:f>
        <ns0:v>Not supplied</ns0:v>
      </ns0:c>
      <ns0:c r="H7" s="13" t="n"/>
      <ns0:c r="I7" s="14" t="str">
        <ns0:f>IF(OR(E7="",H7=""),"Unverified",E7*H7)</ns0:f>
        <ns0:v>Unverified</ns0:v>
      </ns0:c>
      <ns0:c r="J7" s="12" t="str">
        <ns0:f>IF(E7="","Gap information not supplied",IF(E7&gt;0,"Physical / record check required","Reported zero; verify"))</ns0:f>
        <ns0:v>Gap information not supplied</ns0:v>
      </ns0:c>
      <ns0:c r="K7" s="15" t="n"/>
      <ns0:c r="L7" s="9" t="inlineStr">
        <ns0:is>
          <ns0:t>R1/R2</ns0:t>
        </ns0:is>
      </ns0:c>
    </ns0:row>
    <ns0:row r="8" ht="39" customHeight="1">
      <ns0:c r="A8" s="9" t="n">
        <ns0:v>2</ns0:v>
      </ns0:c>
      <ns0:c r="B8" s="9" t="inlineStr">
        <ns0:is>
          <ns0:t>Shovel (Pala, Bilog)</ns0:t>
        </ns0:is>
      </ns0:c>
      <ns0:c r="C8" s="10" t="n">
        <ns0:v>23</ns0:v>
      </ns0:c>
      <ns0:c r="D8" s="10" t="n">
        <ns0:v>42</ns0:v>
      </ns0:c>
      <ns0:c r="E8" s="10" t="n">
        <ns0:v>19</ns0:v>
      </ns0:c>
      <ns0:c r="F8" s="11">
        <ns0:f>IF(ISNUMBER(D8),MAX(D8-C8,0),"")</ns0:f>
        <ns0:v>19.0</ns0:v>
      </ns0:c>
      <ns0:c r="G8" s="12" t="str">
        <ns0:f>IF(D8="","Not supplied",IF(E8="","No reported gap",IF(F8=E8,"Match","Mismatch")))</ns0:f>
        <ns0:v>Match</ns0:v>
      </ns0:c>
      <ns0:c r="H8" s="13" t="n"/>
      <ns0:c r="I8" s="14" t="str">
        <ns0:f>IF(OR(E8="",H8=""),"Unverified",E8*H8)</ns0:f>
        <ns0:v>Unverified</ns0:v>
      </ns0:c>
      <ns0:c r="J8" s="12" t="str">
        <ns0:f>IF(E8="","Gap information not supplied",IF(E8&gt;0,"Physical / record check required","Reported zero; verify"))</ns0:f>
        <ns0:v>Physical / record check required</ns0:v>
      </ns0:c>
      <ns0:c r="K8" s="15" t="n"/>
      <ns0:c r="L8" s="9" t="inlineStr">
        <ns0:is>
          <ns0:t>R1/R2</ns0:t>
        </ns0:is>
      </ns0:c>
    </ns0:row>
    <ns0:row r="9" ht="39" customHeight="1">
      <ns0:c r="A9" s="9" t="n">
        <ns0:v>3</ns0:v>
      </ns0:c>
      <ns0:c r="B9" s="9" t="inlineStr">
        <ns0:is>
          <ns0:t>Bareta</ns0:t>
        </ns0:is>
      </ns0:c>
      <ns0:c r="C9" s="10" t="n">
        <ns0:v>13</ns0:v>
      </ns0:c>
      <ns0:c r="D9" s="10" t="n"/>
      <ns0:c r="E9" s="10" t="n"/>
      <ns0:c r="F9" s="11" t="str">
        <ns0:f>IF(ISNUMBER(D9),MAX(D9-C9,0),"")</ns0:f>
        <ns0:v/>
      </ns0:c>
      <ns0:c r="G9" s="12" t="str">
        <ns0:f>IF(D9="","Not supplied",IF(E9="","No reported gap",IF(F9=E9,"Match","Mismatch")))</ns0:f>
        <ns0:v>Not supplied</ns0:v>
      </ns0:c>
      <ns0:c r="H9" s="13" t="n"/>
      <ns0:c r="I9" s="14" t="str">
        <ns0:f>IF(OR(E9="",H9=""),"Unverified",E9*H9)</ns0:f>
        <ns0:v>Unverified</ns0:v>
      </ns0:c>
      <ns0:c r="J9" s="12" t="str">
        <ns0:f>IF(E9="","Gap information not supplied",IF(E9&gt;0,"Physical / record check required","Reported zero; verify"))</ns0:f>
        <ns0:v>Gap information not supplied</ns0:v>
      </ns0:c>
      <ns0:c r="K9" s="15" t="n"/>
      <ns0:c r="L9" s="9" t="inlineStr">
        <ns0:is>
          <ns0:t>R1/R2</ns0:t>
        </ns0:is>
      </ns0:c>
    </ns0:row>
    <ns0:row r="10" ht="39" customHeight="1">
      <ns0:c r="A10" s="9" t="n">
        <ns0:v>4</ns0:v>
      </ns0:c>
      <ns0:c r="B10" s="9" t="inlineStr">
        <ns0:is>
          <ns0:t>Itak</ns0:t>
        </ns0:is>
      </ns0:c>
      <ns0:c r="C10" s="10" t="n">
        <ns0:v>4</ns0:v>
      </ns0:c>
      <ns0:c r="D10" s="10" t="n"/>
      <ns0:c r="E10" s="10" t="n"/>
      <ns0:c r="F10" s="11" t="str">
        <ns0:f>IF(ISNUMBER(D10),MAX(D10-C10,0),"")</ns0:f>
        <ns0:v/>
      </ns0:c>
      <ns0:c r="G10" s="12" t="str">
        <ns0:f>IF(D10="","Not supplied",IF(E10="","No reported gap",IF(F10=E10,"Match","Mismatch")))</ns0:f>
        <ns0:v>Not supplied</ns0:v>
      </ns0:c>
      <ns0:c r="H10" s="13" t="n"/>
      <ns0:c r="I10" s="14" t="str">
        <ns0:f>IF(OR(E10="",H10=""),"Unverified",E10*H10)</ns0:f>
        <ns0:v>Unverified</ns0:v>
      </ns0:c>
      <ns0:c r="J10" s="12" t="str">
        <ns0:f>IF(E10="","Gap information not supplied",IF(E10&gt;0,"Physical / record check required","Reported zero; verify"))</ns0:f>
        <ns0:v>Gap information not supplied</ns0:v>
      </ns0:c>
      <ns0:c r="K10" s="15" t="n"/>
      <ns0:c r="L10" s="9" t="inlineStr">
        <ns0:is>
          <ns0:t>R1/R2</ns0:t>
        </ns0:is>
      </ns0:c>
    </ns0:row>
    <ns0:row r="11" ht="39" customHeight="1">
      <ns0:c r="A11" s="9" t="n">
        <ns0:v>5</ns0:v>
      </ns0:c>
      <ns0:c r="B11" s="9" t="inlineStr">
        <ns0:is>
          <ns0:t>Piko</ns0:t>
        </ns0:is>
      </ns0:c>
      <ns0:c r="C11" s="10" t="n">
        <ns0:v>4</ns0:v>
      </ns0:c>
      <ns0:c r="D11" s="10" t="n"/>
      <ns0:c r="E11" s="10" t="n"/>
      <ns0:c r="F11" s="11" t="str">
        <ns0:f>IF(ISNUMBER(D11),MAX(D11-C11,0),"")</ns0:f>
        <ns0:v/>
      </ns0:c>
      <ns0:c r="G11" s="12" t="str">
        <ns0:f>IF(D11="","Not supplied",IF(E11="","No reported gap",IF(F11=E11,"Match","Mismatch")))</ns0:f>
        <ns0:v>Not supplied</ns0:v>
      </ns0:c>
      <ns0:c r="H11" s="13" t="n"/>
      <ns0:c r="I11" s="14" t="str">
        <ns0:f>IF(OR(E11="",H11=""),"Unverified",E11*H11)</ns0:f>
        <ns0:v>Unverified</ns0:v>
      </ns0:c>
      <ns0:c r="J11" s="12" t="str">
        <ns0:f>IF(E11="","Gap information not supplied",IF(E11&gt;0,"Physical / record check required","Reported zero; verify"))</ns0:f>
        <ns0:v>Gap information not supplied</ns0:v>
      </ns0:c>
      <ns0:c r="K11" s="15" t="n"/>
      <ns0:c r="L11" s="9" t="inlineStr">
        <ns0:is>
          <ns0:t>R1/R2</ns0:t>
        </ns0:is>
      </ns0:c>
    </ns0:row>
    <ns0:row r="12" ht="39" customHeight="1">
      <ns0:c r="A12" s="9" t="n">
        <ns0:v>6</ns0:v>
      </ns0:c>
      <ns0:c r="B12" s="9" t="inlineStr">
        <ns0:is>
          <ns0:t>Plastic Drum 200L</ns0:t>
        </ns0:is>
      </ns0:c>
      <ns0:c r="C12" s="10" t="n">
        <ns0:v>14</ns0:v>
      </ns0:c>
      <ns0:c r="D12" s="10" t="n"/>
      <ns0:c r="E12" s="10" t="n"/>
      <ns0:c r="F12" s="11" t="str">
        <ns0:f>IF(ISNUMBER(D12),MAX(D12-C12,0),"")</ns0:f>
        <ns0:v/>
      </ns0:c>
      <ns0:c r="G12" s="12" t="str">
        <ns0:f>IF(D12="","Not supplied",IF(E12="","No reported gap",IF(F12=E12,"Match","Mismatch")))</ns0:f>
        <ns0:v>Not supplied</ns0:v>
      </ns0:c>
      <ns0:c r="H12" s="13" t="n"/>
      <ns0:c r="I12" s="14" t="str">
        <ns0:f>IF(OR(E12="",H12=""),"Unverified",E12*H12)</ns0:f>
        <ns0:v>Unverified</ns0:v>
      </ns0:c>
      <ns0:c r="J12" s="12" t="str">
        <ns0:f>IF(E12="","Gap information not supplied",IF(E12&gt;0,"Physical / record check required","Reported zero; verify"))</ns0:f>
        <ns0:v>Gap information not supplied</ns0:v>
      </ns0:c>
      <ns0:c r="K12" s="15" t="n"/>
      <ns0:c r="L12" s="9" t="inlineStr">
        <ns0:is>
          <ns0:t>R1/R2</ns0:t>
        </ns0:is>
      </ns0:c>
    </ns0:row>
    <ns0:row r="13" ht="39" customHeight="1">
      <ns0:c r="A13" s="9" t="n">
        <ns0:v>7</ns0:v>
      </ns0:c>
      <ns0:c r="B13" s="9" t="inlineStr">
        <ns0:is>
          <ns0:t>IBC Water Tank 1000L</ns0:t>
        </ns0:is>
      </ns0:c>
      <ns0:c r="C13" s="10" t="n">
        <ns0:v>5</ns0:v>
      </ns0:c>
      <ns0:c r="D13" s="10" t="n"/>
      <ns0:c r="E13" s="10" t="n"/>
      <ns0:c r="F13" s="11" t="str">
        <ns0:f>IF(ISNUMBER(D13),MAX(D13-C13,0),"")</ns0:f>
        <ns0:v/>
      </ns0:c>
      <ns0:c r="G13" s="12" t="str">
        <ns0:f>IF(D13="","Not supplied",IF(E13="","No reported gap",IF(F13=E13,"Match","Mismatch")))</ns0:f>
        <ns0:v>Not supplied</ns0:v>
      </ns0:c>
      <ns0:c r="H13" s="13" t="n"/>
      <ns0:c r="I13" s="14" t="str">
        <ns0:f>IF(OR(E13="",H13=""),"Unverified",E13*H13)</ns0:f>
        <ns0:v>Unverified</ns0:v>
      </ns0:c>
      <ns0:c r="J13" s="12" t="str">
        <ns0:f>IF(E13="","Gap information not supplied",IF(E13&gt;0,"Physical / record check required","Reported zero; verify"))</ns0:f>
        <ns0:v>Gap information not supplied</ns0:v>
      </ns0:c>
      <ns0:c r="K13" s="15" t="n"/>
      <ns0:c r="L13" s="9" t="inlineStr">
        <ns0:is>
          <ns0:t>R1/R2</ns0:t>
        </ns0:is>
      </ns0:c>
    </ns0:row>
    <ns0:row r="14" ht="39" customHeight="1">
      <ns0:c r="A14" s="9" t="n">
        <ns0:v>8</ns0:v>
      </ns0:c>
      <ns0:c r="B14" s="9" t="inlineStr">
        <ns0:is>
          <ns0:t>Wheel Barrow</ns0:t>
        </ns0:is>
      </ns0:c>
      <ns0:c r="C14" s="10" t="n">
        <ns0:v>4</ns0:v>
      </ns0:c>
      <ns0:c r="D14" s="10" t="n"/>
      <ns0:c r="E14" s="10" t="n"/>
      <ns0:c r="F14" s="11" t="str">
        <ns0:f>IF(ISNUMBER(D14),MAX(D14-C14,0),"")</ns0:f>
        <ns0:v/>
      </ns0:c>
      <ns0:c r="G14" s="12" t="str">
        <ns0:f>IF(D14="","Not supplied",IF(E14="","No reported gap",IF(F14=E14,"Match","Mismatch")))</ns0:f>
        <ns0:v>Not supplied</ns0:v>
      </ns0:c>
      <ns0:c r="H14" s="13" t="n"/>
      <ns0:c r="I14" s="14" t="str">
        <ns0:f>IF(OR(E14="",H14=""),"Unverified",E14*H14)</ns0:f>
        <ns0:v>Unverified</ns0:v>
      </ns0:c>
      <ns0:c r="J14" s="12" t="str">
        <ns0:f>IF(E14="","Gap information not supplied",IF(E14&gt;0,"Physical / record check required","Reported zero; verify"))</ns0:f>
        <ns0:v>Gap information not supplied</ns0:v>
      </ns0:c>
      <ns0:c r="K14" s="15" t="n"/>
      <ns0:c r="L14" s="9" t="inlineStr">
        <ns0:is>
          <ns0:t>R1/R2</ns0:t>
        </ns0:is>
      </ns0:c>
    </ns0:row>
    <ns0:row r="15" ht="39" customHeight="1">
      <ns0:c r="A15" s="9" t="n">
        <ns0:v>9</ns0:v>
      </ns0:c>
      <ns0:c r="B15" s="9" t="inlineStr">
        <ns0:is>
          <ns0:t>Oxygen Tank</ns0:t>
        </ns0:is>
      </ns0:c>
      <ns0:c r="C15" s="10" t="n">
        <ns0:v>3</ns0:v>
      </ns0:c>
      <ns0:c r="D15" s="10" t="n"/>
      <ns0:c r="E15" s="10" t="n"/>
      <ns0:c r="F15" s="11" t="str">
        <ns0:f>IF(ISNUMBER(D15),MAX(D15-C15,0),"")</ns0:f>
        <ns0:v/>
      </ns0:c>
      <ns0:c r="G15" s="12" t="str">
        <ns0:f>IF(D15="","Not supplied",IF(E15="","No reported gap",IF(F15=E15,"Match","Mismatch")))</ns0:f>
        <ns0:v>Not supplied</ns0:v>
      </ns0:c>
      <ns0:c r="H15" s="13" t="n"/>
      <ns0:c r="I15" s="14" t="str">
        <ns0:f>IF(OR(E15="",H15=""),"Unverified",E15*H15)</ns0:f>
        <ns0:v>Unverified</ns0:v>
      </ns0:c>
      <ns0:c r="J15" s="12" t="str">
        <ns0:f>IF(E15="","Gap information not supplied",IF(E15&gt;0,"Physical / record check required","Reported zero; verify"))</ns0:f>
        <ns0:v>Gap information not supplied</ns0:v>
      </ns0:c>
      <ns0:c r="K15" s="15" t="n"/>
      <ns0:c r="L15" s="9" t="inlineStr">
        <ns0:is>
          <ns0:t>R1/R2</ns0:t>
        </ns0:is>
      </ns0:c>
    </ns0:row>
    <ns0:row r="16" ht="39" customHeight="1">
      <ns0:c r="A16" s="9" t="n">
        <ns0:v>10</ns0:v>
      </ns0:c>
      <ns0:c r="B16" s="9" t="inlineStr">
        <ns0:is>
          <ns0:t>Gas Tank</ns0:t>
        </ns0:is>
      </ns0:c>
      <ns0:c r="C16" s="10" t="n">
        <ns0:v>5</ns0:v>
      </ns0:c>
      <ns0:c r="D16" s="10" t="n"/>
      <ns0:c r="E16" s="10" t="n"/>
      <ns0:c r="F16" s="11" t="str">
        <ns0:f>IF(ISNUMBER(D16),MAX(D16-C16,0),"")</ns0:f>
        <ns0:v/>
      </ns0:c>
      <ns0:c r="G16" s="12" t="str">
        <ns0:f>IF(D16="","Not supplied",IF(E16="","No reported gap",IF(F16=E16,"Match","Mismatch")))</ns0:f>
        <ns0:v>Not supplied</ns0:v>
      </ns0:c>
      <ns0:c r="H16" s="13" t="n"/>
      <ns0:c r="I16" s="14" t="str">
        <ns0:f>IF(OR(E16="",H16=""),"Unverified",E16*H16)</ns0:f>
        <ns0:v>Unverified</ns0:v>
      </ns0:c>
      <ns0:c r="J16" s="12" t="str">
        <ns0:f>IF(E16="","Gap information not supplied",IF(E16&gt;0,"Physical / record check required","Reported zero; verify"))</ns0:f>
        <ns0:v>Gap information not supplied</ns0:v>
      </ns0:c>
      <ns0:c r="K16" s="15" t="n"/>
      <ns0:c r="L16" s="9" t="inlineStr">
        <ns0:is>
          <ns0:t>R1/R2</ns0:t>
        </ns0:is>
      </ns0:c>
    </ns0:row>
    <ns0:row r="17" ht="39" customHeight="1">
      <ns0:c r="A17" s="9" t="n">
        <ns0:v>11</ns0:v>
      </ns0:c>
      <ns0:c r="B17" s="9" t="inlineStr">
        <ns0:is>
          <ns0:t>Electric Kettle</ns0:t>
        </ns0:is>
      </ns0:c>
      <ns0:c r="C17" s="10" t="n">
        <ns0:v>2</ns0:v>
      </ns0:c>
      <ns0:c r="D17" s="10" t="n"/>
      <ns0:c r="E17" s="10" t="n"/>
      <ns0:c r="F17" s="11" t="str">
        <ns0:f>IF(ISNUMBER(D17),MAX(D17-C17,0),"")</ns0:f>
        <ns0:v/>
      </ns0:c>
      <ns0:c r="G17" s="12" t="str">
        <ns0:f>IF(D17="","Not supplied",IF(E17="","No reported gap",IF(F17=E17,"Match","Mismatch")))</ns0:f>
        <ns0:v>Not supplied</ns0:v>
      </ns0:c>
      <ns0:c r="H17" s="13" t="n"/>
      <ns0:c r="I17" s="14" t="str">
        <ns0:f>IF(OR(E17="",H17=""),"Unverified",E17*H17)</ns0:f>
        <ns0:v>Unverified</ns0:v>
      </ns0:c>
      <ns0:c r="J17" s="12" t="str">
        <ns0:f>IF(E17="","Gap information not supplied",IF(E17&gt;0,"Physical / record check required","Reported zero; verify"))</ns0:f>
        <ns0:v>Gap information not supplied</ns0:v>
      </ns0:c>
      <ns0:c r="K17" s="15" t="n"/>
      <ns0:c r="L17" s="9" t="inlineStr">
        <ns0:is>
          <ns0:t>R1/R2</ns0:t>
        </ns0:is>
      </ns0:c>
    </ns0:row>
    <ns0:row r="18" ht="39" customHeight="1">
      <ns0:c r="A18" s="9" t="n">
        <ns0:v>12</ns0:v>
      </ns0:c>
      <ns0:c r="B18" s="9" t="inlineStr">
        <ns0:is>
          <ns0:t>Extension</ns0:t>
        </ns0:is>
      </ns0:c>
      <ns0:c r="C18" s="10" t="n">
        <ns0:v>10</ns0:v>
      </ns0:c>
      <ns0:c r="D18" s="10" t="n"/>
      <ns0:c r="E18" s="10" t="n"/>
      <ns0:c r="F18" s="11" t="str">
        <ns0:f>IF(ISNUMBER(D18),MAX(D18-C18,0),"")</ns0:f>
        <ns0:v/>
      </ns0:c>
      <ns0:c r="G18" s="12" t="str">
        <ns0:f>IF(D18="","Not supplied",IF(E18="","No reported gap",IF(F18=E18,"Match","Mismatch")))</ns0:f>
        <ns0:v>Not supplied</ns0:v>
      </ns0:c>
      <ns0:c r="H18" s="13" t="n"/>
      <ns0:c r="I18" s="14" t="str">
        <ns0:f>IF(OR(E18="",H18=""),"Unverified",E18*H18)</ns0:f>
        <ns0:v>Unverified</ns0:v>
      </ns0:c>
      <ns0:c r="J18" s="12" t="str">
        <ns0:f>IF(E18="","Gap information not supplied",IF(E18&gt;0,"Physical / record check required","Reported zero; verify"))</ns0:f>
        <ns0:v>Gap information not supplied</ns0:v>
      </ns0:c>
      <ns0:c r="K18" s="15" t="n"/>
      <ns0:c r="L18" s="9" t="inlineStr">
        <ns0:is>
          <ns0:t>R1/R2</ns0:t>
        </ns0:is>
      </ns0:c>
    </ns0:row>
    <ns0:row r="19" ht="39" customHeight="1">
      <ns0:c r="A19" s="9" t="n">
        <ns0:v>13</ns0:v>
      </ns0:c>
      <ns0:c r="B19" s="9" t="inlineStr">
        <ns0:is>
          <ns0:t>Double Burner Stove</ns0:t>
        </ns0:is>
      </ns0:c>
      <ns0:c r="C19" s="10" t="n">
        <ns0:v>8</ns0:v>
      </ns0:c>
      <ns0:c r="D19" s="10" t="n"/>
      <ns0:c r="E19" s="10" t="n"/>
      <ns0:c r="F19" s="11" t="str">
        <ns0:f>IF(ISNUMBER(D19),MAX(D19-C19,0),"")</ns0:f>
        <ns0:v/>
      </ns0:c>
      <ns0:c r="G19" s="12" t="str">
        <ns0:f>IF(D19="","Not supplied",IF(E19="","No reported gap",IF(F19=E19,"Match","Mismatch")))</ns0:f>
        <ns0:v>Not supplied</ns0:v>
      </ns0:c>
      <ns0:c r="H19" s="13" t="n"/>
      <ns0:c r="I19" s="14" t="str">
        <ns0:f>IF(OR(E19="",H19=""),"Unverified",E19*H19)</ns0:f>
        <ns0:v>Unverified</ns0:v>
      </ns0:c>
      <ns0:c r="J19" s="12" t="str">
        <ns0:f>IF(E19="","Gap information not supplied",IF(E19&gt;0,"Physical / record check required","Reported zero; verify"))</ns0:f>
        <ns0:v>Gap information not supplied</ns0:v>
      </ns0:c>
      <ns0:c r="K19" s="15" t="n"/>
      <ns0:c r="L19" s="9" t="inlineStr">
        <ns0:is>
          <ns0:t>R1/R2</ns0:t>
        </ns0:is>
      </ns0:c>
    </ns0:row>
    <ns0:row r="20" ht="39" customHeight="1">
      <ns0:c r="A20" s="9" t="n">
        <ns0:v>14</ns0:v>
      </ns0:c>
      <ns0:c r="B20" s="9" t="inlineStr">
        <ns0:is>
          <ns0:t>Lababo</ns0:t>
        </ns0:is>
      </ns0:c>
      <ns0:c r="C20" s="10" t="n">
        <ns0:v>5</ns0:v>
      </ns0:c>
      <ns0:c r="D20" s="10" t="n"/>
      <ns0:c r="E20" s="10" t="n"/>
      <ns0:c r="F20" s="11" t="str">
        <ns0:f>IF(ISNUMBER(D20),MAX(D20-C20,0),"")</ns0:f>
        <ns0:v/>
      </ns0:c>
      <ns0:c r="G20" s="12" t="str">
        <ns0:f>IF(D20="","Not supplied",IF(E20="","No reported gap",IF(F20=E20,"Match","Mismatch")))</ns0:f>
        <ns0:v>Not supplied</ns0:v>
      </ns0:c>
      <ns0:c r="H20" s="13" t="n"/>
      <ns0:c r="I20" s="14" t="str">
        <ns0:f>IF(OR(E20="",H20=""),"Unverified",E20*H20)</ns0:f>
        <ns0:v>Unverified</ns0:v>
      </ns0:c>
      <ns0:c r="J20" s="12" t="str">
        <ns0:f>IF(E20="","Gap information not supplied",IF(E20&gt;0,"Physical / record check required","Reported zero; verify"))</ns0:f>
        <ns0:v>Gap information not supplied</ns0:v>
      </ns0:c>
      <ns0:c r="K20" s="15" t="n"/>
      <ns0:c r="L20" s="9" t="inlineStr">
        <ns0:is>
          <ns0:t>R1/R2</ns0:t>
        </ns0:is>
      </ns0:c>
    </ns0:row>
    <ns0:row r="21" ht="39" customHeight="1">
      <ns0:c r="A21" s="9" t="n">
        <ns0:v>15</ns0:v>
      </ns0:c>
      <ns0:c r="B21" s="9" t="inlineStr">
        <ns0:is>
          <ns0:t>Maso</ns0:t>
        </ns0:is>
      </ns0:c>
      <ns0:c r="C21" s="10" t="n">
        <ns0:v>4</ns0:v>
      </ns0:c>
      <ns0:c r="D21" s="10" t="n"/>
      <ns0:c r="E21" s="10" t="n"/>
      <ns0:c r="F21" s="11" t="str">
        <ns0:f>IF(ISNUMBER(D21),MAX(D21-C21,0),"")</ns0:f>
        <ns0:v/>
      </ns0:c>
      <ns0:c r="G21" s="12" t="str">
        <ns0:f>IF(D21="","Not supplied",IF(E21="","No reported gap",IF(F21=E21,"Match","Mismatch")))</ns0:f>
        <ns0:v>Not supplied</ns0:v>
      </ns0:c>
      <ns0:c r="H21" s="13" t="n"/>
      <ns0:c r="I21" s="14" t="str">
        <ns0:f>IF(OR(E21="",H21=""),"Unverified",E21*H21)</ns0:f>
        <ns0:v>Unverified</ns0:v>
      </ns0:c>
      <ns0:c r="J21" s="12" t="str">
        <ns0:f>IF(E21="","Gap information not supplied",IF(E21&gt;0,"Physical / record check required","Reported zero; verify"))</ns0:f>
        <ns0:v>Gap information not supplied</ns0:v>
      </ns0:c>
      <ns0:c r="K21" s="15" t="n"/>
      <ns0:c r="L21" s="9" t="inlineStr">
        <ns0:is>
          <ns0:t>R1/R2</ns0:t>
        </ns0:is>
      </ns0:c>
    </ns0:row>
    <ns0:row r="22" ht="39" customHeight="1">
      <ns0:c r="A22" s="9" t="n">
        <ns0:v>16</ns0:v>
      </ns0:c>
      <ns0:c r="B22" s="9" t="inlineStr">
        <ns0:is>
          <ns0:t>Garden Hose</ns0:t>
        </ns0:is>
      </ns0:c>
      <ns0:c r="C22" s="10" t="n">
        <ns0:v>5</ns0:v>
      </ns0:c>
      <ns0:c r="D22" s="10" t="n"/>
      <ns0:c r="E22" s="10" t="n"/>
      <ns0:c r="F22" s="11" t="str">
        <ns0:f>IF(ISNUMBER(D22),MAX(D22-C22,0),"")</ns0:f>
        <ns0:v/>
      </ns0:c>
      <ns0:c r="G22" s="12" t="str">
        <ns0:f>IF(D22="","Not supplied",IF(E22="","No reported gap",IF(F22=E22,"Match","Mismatch")))</ns0:f>
        <ns0:v>Not supplied</ns0:v>
      </ns0:c>
      <ns0:c r="H22" s="13" t="n"/>
      <ns0:c r="I22" s="14" t="str">
        <ns0:f>IF(OR(E22="",H22=""),"Unverified",E22*H22)</ns0:f>
        <ns0:v>Unverified</ns0:v>
      </ns0:c>
      <ns0:c r="J22" s="12" t="str">
        <ns0:f>IF(E22="","Gap information not supplied",IF(E22&gt;0,"Physical / record check required","Reported zero; verify"))</ns0:f>
        <ns0:v>Gap information not supplied</ns0:v>
      </ns0:c>
      <ns0:c r="K22" s="15" t="n"/>
      <ns0:c r="L22" s="9" t="inlineStr">
        <ns0:is>
          <ns0:t>R1/R2</ns0:t>
        </ns0:is>
      </ns0:c>
    </ns0:row>
    <ns0:row r="23" ht="39" customHeight="1">
      <ns0:c r="A23" s="9" t="n">
        <ns0:v>17</ns0:v>
      </ns0:c>
      <ns0:c r="B23" s="9" t="inlineStr">
        <ns0:is>
          <ns0:t>GI Pipes</ns0:t>
        </ns0:is>
      </ns0:c>
      <ns0:c r="C23" s="10" t="n">
        <ns0:v>225</ns0:v>
      </ns0:c>
      <ns0:c r="D23" s="10" t="n">
        <ns0:v>300</ns0:v>
      </ns0:c>
      <ns0:c r="E23" s="10" t="n">
        <ns0:v>75</ns0:v>
      </ns0:c>
      <ns0:c r="F23" s="11">
        <ns0:f>IF(ISNUMBER(D23),MAX(D23-C23,0),"")</ns0:f>
        <ns0:v>75.0</ns0:v>
      </ns0:c>
      <ns0:c r="G23" s="12" t="str">
        <ns0:f>IF(D23="","Not supplied",IF(E23="","No reported gap",IF(F23=E23,"Match","Mismatch")))</ns0:f>
        <ns0:v>Match</ns0:v>
      </ns0:c>
      <ns0:c r="H23" s="13" t="n"/>
      <ns0:c r="I23" s="14" t="str">
        <ns0:f>IF(OR(E23="",H23=""),"Unverified",E23*H23)</ns0:f>
        <ns0:v>Unverified</ns0:v>
      </ns0:c>
      <ns0:c r="J23" s="12" t="str">
        <ns0:f>IF(E23="","Gap information not supplied",IF(E23&gt;0,"Physical / record check required","Reported zero; verify"))</ns0:f>
        <ns0:v>Physical / record check required</ns0:v>
      </ns0:c>
      <ns0:c r="K23" s="15" t="n"/>
      <ns0:c r="L23" s="9" t="inlineStr">
        <ns0:is>
          <ns0:t>R1/R2</ns0:t>
        </ns0:is>
      </ns0:c>
    </ns0:row>
    <ns0:row r="24" ht="39" customHeight="1">
      <ns0:c r="A24" s="9" t="n">
        <ns0:v>18</ns0:v>
      </ns0:c>
      <ns0:c r="B24" s="9" t="inlineStr">
        <ns0:is>
          <ns0:t>Base Jack</ns0:t>
        </ns0:is>
      </ns0:c>
      <ns0:c r="C24" s="10" t="n">
        <ns0:v>27</ns0:v>
      </ns0:c>
      <ns0:c r="D24" s="10" t="n"/>
      <ns0:c r="E24" s="10" t="n"/>
      <ns0:c r="F24" s="11" t="str">
        <ns0:f>IF(ISNUMBER(D24),MAX(D24-C24,0),"")</ns0:f>
        <ns0:v/>
      </ns0:c>
      <ns0:c r="G24" s="12" t="str">
        <ns0:f>IF(D24="","Not supplied",IF(E24="","No reported gap",IF(F24=E24,"Match","Mismatch")))</ns0:f>
        <ns0:v>Not supplied</ns0:v>
      </ns0:c>
      <ns0:c r="H24" s="13" t="n"/>
      <ns0:c r="I24" s="14" t="str">
        <ns0:f>IF(OR(E24="",H24=""),"Unverified",E24*H24)</ns0:f>
        <ns0:v>Unverified</ns0:v>
      </ns0:c>
      <ns0:c r="J24" s="12" t="str">
        <ns0:f>IF(E24="","Gap information not supplied",IF(E24&gt;0,"Physical / record check required","Reported zero; verify"))</ns0:f>
        <ns0:v>Gap information not supplied</ns0:v>
      </ns0:c>
      <ns0:c r="K24" s="15" t="n"/>
      <ns0:c r="L24" s="9" t="inlineStr">
        <ns0:is>
          <ns0:t>R1/R2</ns0:t>
        </ns0:is>
      </ns0:c>
    </ns0:row>
    <ns0:row r="25" ht="39" customHeight="1">
      <ns0:c r="A25" s="9" t="n">
        <ns0:v>19</ns0:v>
      </ns0:c>
      <ns0:c r="B25" s="9" t="inlineStr">
        <ns0:is>
          <ns0:t>U-Jack</ns0:t>
        </ns0:is>
      </ns0:c>
      <ns0:c r="C25" s="10" t="n">
        <ns0:v>56</ns0:v>
      </ns0:c>
      <ns0:c r="D25" s="10" t="n"/>
      <ns0:c r="E25" s="10" t="n"/>
      <ns0:c r="F25" s="11" t="str">
        <ns0:f>IF(ISNUMBER(D25),MAX(D25-C25,0),"")</ns0:f>
        <ns0:v/>
      </ns0:c>
      <ns0:c r="G25" s="12" t="str">
        <ns0:f>IF(D25="","Not supplied",IF(E25="","No reported gap",IF(F25=E25,"Match","Mismatch")))</ns0:f>
        <ns0:v>Not supplied</ns0:v>
      </ns0:c>
      <ns0:c r="H25" s="13" t="n"/>
      <ns0:c r="I25" s="14" t="str">
        <ns0:f>IF(OR(E25="",H25=""),"Unverified",E25*H25)</ns0:f>
        <ns0:v>Unverified</ns0:v>
      </ns0:c>
      <ns0:c r="J25" s="12" t="str">
        <ns0:f>IF(E25="","Gap information not supplied",IF(E25&gt;0,"Physical / record check required","Reported zero; verify"))</ns0:f>
        <ns0:v>Gap information not supplied</ns0:v>
      </ns0:c>
      <ns0:c r="K25" s="15" t="n"/>
      <ns0:c r="L25" s="9" t="inlineStr">
        <ns0:is>
          <ns0:t>R1/R2</ns0:t>
        </ns0:is>
      </ns0:c>
    </ns0:row>
    <ns0:row r="26" ht="39" customHeight="1">
      <ns0:c r="A26" s="9" t="n">
        <ns0:v>20</ns0:v>
      </ns0:c>
      <ns0:c r="B26" s="9" t="inlineStr">
        <ns0:is>
          <ns0:t>Buckets</ns0:t>
        </ns0:is>
      </ns0:c>
      <ns0:c r="C26" s="10" t="n">
        <ns0:v>39</ns0:v>
      </ns0:c>
      <ns0:c r="D26" s="10" t="n"/>
      <ns0:c r="E26" s="10" t="n"/>
      <ns0:c r="F26" s="11" t="str">
        <ns0:f>IF(ISNUMBER(D26),MAX(D26-C26,0),"")</ns0:f>
        <ns0:v/>
      </ns0:c>
      <ns0:c r="G26" s="12" t="str">
        <ns0:f>IF(D26="","Not supplied",IF(E26="","No reported gap",IF(F26=E26,"Match","Mismatch")))</ns0:f>
        <ns0:v>Not supplied</ns0:v>
      </ns0:c>
      <ns0:c r="H26" s="13" t="n"/>
      <ns0:c r="I26" s="14" t="str">
        <ns0:f>IF(OR(E26="",H26=""),"Unverified",E26*H26)</ns0:f>
        <ns0:v>Unverified</ns0:v>
      </ns0:c>
      <ns0:c r="J26" s="12" t="str">
        <ns0:f>IF(E26="","Gap information not supplied",IF(E26&gt;0,"Physical / record check required","Reported zero; verify"))</ns0:f>
        <ns0:v>Gap information not supplied</ns0:v>
      </ns0:c>
      <ns0:c r="K26" s="15" t="n"/>
      <ns0:c r="L26" s="9" t="inlineStr">
        <ns0:is>
          <ns0:t>R1/R2</ns0:t>
        </ns0:is>
      </ns0:c>
    </ns0:row>
    <ns0:row r="27" ht="39" customHeight="1">
      <ns0:c r="A27" s="9" t="n">
        <ns0:v>21</ns0:v>
      </ns0:c>
      <ns0:c r="B27" s="9" t="inlineStr">
        <ns0:is>
          <ns0:t>Catwalk Platform Scaffolding</ns0:t>
        </ns0:is>
      </ns0:c>
      <ns0:c r="C27" s="10" t="n">
        <ns0:v>33</ns0:v>
      </ns0:c>
      <ns0:c r="D27" s="10" t="n"/>
      <ns0:c r="E27" s="10" t="n"/>
      <ns0:c r="F27" s="11" t="str">
        <ns0:f>IF(ISNUMBER(D27),MAX(D27-C27,0),"")</ns0:f>
        <ns0:v/>
      </ns0:c>
      <ns0:c r="G27" s="12" t="str">
        <ns0:f>IF(D27="","Not supplied",IF(E27="","No reported gap",IF(F27=E27,"Match","Mismatch")))</ns0:f>
        <ns0:v>Not supplied</ns0:v>
      </ns0:c>
      <ns0:c r="H27" s="13" t="n"/>
      <ns0:c r="I27" s="14" t="str">
        <ns0:f>IF(OR(E27="",H27=""),"Unverified",E27*H27)</ns0:f>
        <ns0:v>Unverified</ns0:v>
      </ns0:c>
      <ns0:c r="J27" s="12" t="str">
        <ns0:f>IF(E27="","Gap information not supplied",IF(E27&gt;0,"Physical / record check required","Reported zero; verify"))</ns0:f>
        <ns0:v>Gap information not supplied</ns0:v>
      </ns0:c>
      <ns0:c r="K27" s="15" t="n"/>
      <ns0:c r="L27" s="9" t="inlineStr">
        <ns0:is>
          <ns0:t>R1/R2</ns0:t>
        </ns0:is>
      </ns0:c>
    </ns0:row>
    <ns0:row r="28" ht="39" customHeight="1">
      <ns0:c r="A28" s="9" t="n">
        <ns0:v>22</ns0:v>
      </ns0:c>
      <ns0:c r="B28" s="9" t="inlineStr">
        <ns0:is>
          <ns0:t>H-Frame Scaffolding</ns0:t>
        </ns0:is>
      </ns0:c>
      <ns0:c r="C28" s="10" t="n">
        <ns0:v>64</ns0:v>
      </ns0:c>
      <ns0:c r="D28" s="10" t="n"/>
      <ns0:c r="E28" s="10" t="n"/>
      <ns0:c r="F28" s="11" t="str">
        <ns0:f>IF(ISNUMBER(D28),MAX(D28-C28,0),"")</ns0:f>
        <ns0:v/>
      </ns0:c>
      <ns0:c r="G28" s="12" t="str">
        <ns0:f>IF(D28="","Not supplied",IF(E28="","No reported gap",IF(F28=E28,"Match","Mismatch")))</ns0:f>
        <ns0:v>Not supplied</ns0:v>
      </ns0:c>
      <ns0:c r="H28" s="13" t="n"/>
      <ns0:c r="I28" s="14" t="str">
        <ns0:f>IF(OR(E28="",H28=""),"Unverified",E28*H28)</ns0:f>
        <ns0:v>Unverified</ns0:v>
      </ns0:c>
      <ns0:c r="J28" s="12" t="str">
        <ns0:f>IF(E28="","Gap information not supplied",IF(E28&gt;0,"Physical / record check required","Reported zero; verify"))</ns0:f>
        <ns0:v>Gap information not supplied</ns0:v>
      </ns0:c>
      <ns0:c r="K28" s="15" t="n"/>
      <ns0:c r="L28" s="9" t="inlineStr">
        <ns0:is>
          <ns0:t>R1/R2</ns0:t>
        </ns0:is>
      </ns0:c>
    </ns0:row>
    <ns0:row r="29" ht="39" customHeight="1">
      <ns0:c r="A29" s="9" t="n">
        <ns0:v>23</ns0:v>
      </ns0:c>
      <ns0:c r="B29" s="9" t="inlineStr">
        <ns0:is>
          <ns0:t>Braces Scaffolding</ns0:t>
        </ns0:is>
      </ns0:c>
      <ns0:c r="C29" s="10" t="n">
        <ns0:v>41</ns0:v>
      </ns0:c>
      <ns0:c r="D29" s="10" t="n"/>
      <ns0:c r="E29" s="10" t="n"/>
      <ns0:c r="F29" s="11" t="str">
        <ns0:f>IF(ISNUMBER(D29),MAX(D29-C29,0),"")</ns0:f>
        <ns0:v/>
      </ns0:c>
      <ns0:c r="G29" s="12" t="str">
        <ns0:f>IF(D29="","Not supplied",IF(E29="","No reported gap",IF(F29=E29,"Match","Mismatch")))</ns0:f>
        <ns0:v>Not supplied</ns0:v>
      </ns0:c>
      <ns0:c r="H29" s="13" t="n"/>
      <ns0:c r="I29" s="14" t="str">
        <ns0:f>IF(OR(E29="",H29=""),"Unverified",E29*H29)</ns0:f>
        <ns0:v>Unverified</ns0:v>
      </ns0:c>
      <ns0:c r="J29" s="12" t="str">
        <ns0:f>IF(E29="","Gap information not supplied",IF(E29&gt;0,"Physical / record check required","Reported zero; verify"))</ns0:f>
        <ns0:v>Gap information not supplied</ns0:v>
      </ns0:c>
      <ns0:c r="K29" s="15" t="n"/>
      <ns0:c r="L29" s="9" t="inlineStr">
        <ns0:is>
          <ns0:t>R1/R2</ns0:t>
        </ns0:is>
      </ns0:c>
    </ns0:row>
    <ns0:row r="30" ht="39" customHeight="1">
      <ns0:c r="A30" s="9" t="n">
        <ns0:v>24</ns0:v>
      </ns0:c>
      <ns0:c r="B30" s="9" t="inlineStr">
        <ns0:is>
          <ns0:t>Water Pump</ns0:t>
        </ns0:is>
      </ns0:c>
      <ns0:c r="C30" s="10" t="n">
        <ns0:v>2</ns0:v>
      </ns0:c>
      <ns0:c r="D30" s="10" t="n"/>
      <ns0:c r="E30" s="10" t="n"/>
      <ns0:c r="F30" s="11" t="str">
        <ns0:f>IF(ISNUMBER(D30),MAX(D30-C30,0),"")</ns0:f>
        <ns0:v/>
      </ns0:c>
      <ns0:c r="G30" s="12" t="str">
        <ns0:f>IF(D30="","Not supplied",IF(E30="","No reported gap",IF(F30=E30,"Match","Mismatch")))</ns0:f>
        <ns0:v>Not supplied</ns0:v>
      </ns0:c>
      <ns0:c r="H30" s="13" t="n"/>
      <ns0:c r="I30" s="14" t="str">
        <ns0:f>IF(OR(E30="",H30=""),"Unverified",E30*H30)</ns0:f>
        <ns0:v>Unverified</ns0:v>
      </ns0:c>
      <ns0:c r="J30" s="12" t="str">
        <ns0:f>IF(E30="","Gap information not supplied",IF(E30&gt;0,"Physical / record check required","Reported zero; verify"))</ns0:f>
        <ns0:v>Gap information not supplied</ns0:v>
      </ns0:c>
      <ns0:c r="K30" s="15" t="n"/>
      <ns0:c r="L30" s="9" t="inlineStr">
        <ns0:is>
          <ns0:t>R1/R2</ns0:t>
        </ns0:is>
      </ns0:c>
    </ns0:row>
    <ns0:row r="31" ht="39" customHeight="1">
      <ns0:c r="A31" s="9" t="n">
        <ns0:v>25</ns0:v>
      </ns0:c>
      <ns0:c r="B31" s="9" t="inlineStr">
        <ns0:is>
          <ns0:t>Garden Sprinkler</ns0:t>
        </ns0:is>
      </ns0:c>
      <ns0:c r="C31" s="10" t="n">
        <ns0:v>2</ns0:v>
      </ns0:c>
      <ns0:c r="D31" s="10" t="n"/>
      <ns0:c r="E31" s="10" t="n"/>
      <ns0:c r="F31" s="11" t="str">
        <ns0:f>IF(ISNUMBER(D31),MAX(D31-C31,0),"")</ns0:f>
        <ns0:v/>
      </ns0:c>
      <ns0:c r="G31" s="12" t="str">
        <ns0:f>IF(D31="","Not supplied",IF(E31="","No reported gap",IF(F31=E31,"Match","Mismatch")))</ns0:f>
        <ns0:v>Not supplied</ns0:v>
      </ns0:c>
      <ns0:c r="H31" s="13" t="n"/>
      <ns0:c r="I31" s="14" t="str">
        <ns0:f>IF(OR(E31="",H31=""),"Unverified",E31*H31)</ns0:f>
        <ns0:v>Unverified</ns0:v>
      </ns0:c>
      <ns0:c r="J31" s="12" t="str">
        <ns0:f>IF(E31="","Gap information not supplied",IF(E31&gt;0,"Physical / record check required","Reported zero; verify"))</ns0:f>
        <ns0:v>Gap information not supplied</ns0:v>
      </ns0:c>
      <ns0:c r="K31" s="15" t="n"/>
      <ns0:c r="L31" s="9" t="inlineStr">
        <ns0:is>
          <ns0:t>R1/R2</ns0:t>
        </ns0:is>
      </ns0:c>
    </ns0:row>
    <ns0:row r="32" ht="39" customHeight="1">
      <ns0:c r="A32" s="9" t="n">
        <ns0:v>26</ns0:v>
      </ns0:c>
      <ns0:c r="B32" s="9" t="inlineStr">
        <ns0:is>
          <ns0:t>Swivel Clamp</ns0:t>
        </ns0:is>
      </ns0:c>
      <ns0:c r="C32" s="10" t="n">
        <ns0:v>141</ns0:v>
      </ns0:c>
      <ns0:c r="D32" s="10" t="n">
        <ns0:v>510</ns0:v>
      </ns0:c>
      <ns0:c r="E32" s="10" t="n">
        <ns0:v>369</ns0:v>
      </ns0:c>
      <ns0:c r="F32" s="11">
        <ns0:f>IF(ISNUMBER(D32),MAX(D32-C32,0),"")</ns0:f>
        <ns0:v>369.0</ns0:v>
      </ns0:c>
      <ns0:c r="G32" s="12" t="str">
        <ns0:f>IF(D32="","Not supplied",IF(E32="","No reported gap",IF(F32=E32,"Match","Mismatch")))</ns0:f>
        <ns0:v>Match</ns0:v>
      </ns0:c>
      <ns0:c r="H32" s="13" t="n"/>
      <ns0:c r="I32" s="14" t="str">
        <ns0:f>IF(OR(E32="",H32=""),"Unverified",E32*H32)</ns0:f>
        <ns0:v>Unverified</ns0:v>
      </ns0:c>
      <ns0:c r="J32" s="12" t="str">
        <ns0:f>IF(E32="","Gap information not supplied",IF(E32&gt;0,"Physical / record check required","Reported zero; verify"))</ns0:f>
        <ns0:v>Physical / record check required</ns0:v>
      </ns0:c>
      <ns0:c r="K32" s="15" t="n"/>
      <ns0:c r="L32" s="9" t="inlineStr">
        <ns0:is>
          <ns0:t>R1/R2</ns0:t>
        </ns0:is>
      </ns0:c>
    </ns0:row>
    <ns0:row r="33" ht="19" customHeight="1"/>
    <ns0:row r="34" ht="39" customHeight="1">
      <ns0:c r="A34" s="8" t="inlineStr"/>
      <ns0:c r="B34" s="8" t="inlineStr">
        <ns0:is>
          <ns0:t>TOTAL / PROVIDED CELLS ONLY</ns0:t>
        </ns0:is>
      </ns0:c>
      <ns0:c r="C34" s="11">
        <ns0:f>SUM(C7:C32)</ns0:f>
        <ns0:v>758.0</ns0:v>
      </ns0:c>
      <ns0:c r="D34" s="11">
        <ns0:f>SUM(D7:D32)</ns0:f>
        <ns0:v>852.0</ns0:v>
      </ns0:c>
      <ns0:c r="E34" s="11">
        <ns0:f>SUM(E7:E32)</ns0:f>
        <ns0:v>463.0</ns0:v>
      </ns0:c>
      <ns0:c r="F34" s="8" t="inlineStr"/>
      <ns0:c r="G34" s="8" t="inlineStr"/>
      <ns0:c r="H34" s="8" t="inlineStr"/>
      <ns0:c r="I34" s="14" t="str">
        <ns0:f>IF(COUNT(I7:I32)=COUNT(E7:E32),SUM(I7:I32),"Unverified")</ns0:f>
        <ns0:v>Unverified</ns0:v>
      </ns0:c>
      <ns0:c r="J34" s="8" t="inlineStr"/>
      <ns0:c r="K34" s="8" t="inlineStr"/>
    </ns0:row>
    <ns0:row r="35" ht="39" customHeight="1">
      <ns0:c r="A35" s="6" t="inlineStr">
        <ns0:is>
          <ns0:t>Need-to-comply total covers only 3 categories (852 units); it is not an all-inventory requirement. Reported gaps cover only those 3 categories. Prices value exposure only; they do not create annual benefits.</ns0:t>
        </ns0:is>
      </ns0:c>
    </ns0:row>
    <ns0:row r="36" ht="19" customHeight="1"/>
    <ns0:row r="37" ht="19" customHeight="1"/>
    <ns0:row r="38" ht="39" customHeight="1">
      <ns0:c r="A38" s="8" t="inlineStr"/>
      <ns0:c r="B38" s="8" t="inlineStr">
        <ns0:is>
          <ns0:t>FLAGGED CATEGORIES</ns0:t>
        </ns0:is>
      </ns0:c>
      <ns0:c r="C38" s="8" t="inlineStr">
        <ns0:is>
          <ns0:t>Recorded</ns0:t>
        </ns0:is>
      </ns0:c>
      <ns0:c r="D38" s="8" t="inlineStr">
        <ns0:is>
          <ns0:t>Requirement</ns0:t>
        </ns0:is>
      </ns0:c>
      <ns0:c r="E38" s="8" t="inlineStr">
        <ns0:is>
          <ns0:t>Reported gap</ns0:t>
        </ns0:is>
      </ns0:c>
      <ns0:c r="F38" s="8" t="inlineStr">
        <ns0:is>
          <ns0:t>Gap share</ns0:t>
        </ns0:is>
      </ns0:c>
      <ns0:c r="G38" s="8" t="inlineStr"/>
      <ns0:c r="H38" s="8" t="inlineStr"/>
      <ns0:c r="I38" s="8" t="inlineStr">
        <ns0:is>
          <ns0:t>Exposure (₱)</ns0:t>
        </ns0:is>
      </ns0:c>
      <ns0:c r="J38" s="8" t="inlineStr"/>
      <ns0:c r="K38" s="8" t="inlineStr"/>
      <ns0:c r="L38" s="8" t="inlineStr"/>
    </ns0:row>
    <ns0:row r="39" ht="28" customHeight="1">
      <ns0:c r="B39" s="12" t="str">
        <ns0:f>B8</ns0:f>
        <ns0:v>Shovel (Pala, Bilog)</ns0:v>
      </ns0:c>
      <ns0:c r="C39" s="11">
        <ns0:f>C8</ns0:f>
        <ns0:v>23</ns0:v>
      </ns0:c>
      <ns0:c r="D39" s="11">
        <ns0:f>D8</ns0:f>
        <ns0:v>42</ns0:v>
      </ns0:c>
      <ns0:c r="E39" s="11">
        <ns0:f>E8</ns0:f>
        <ns0:v>19</ns0:v>
      </ns0:c>
      <ns0:c r="F39" s="16">
        <ns0:f>E8/$E$34</ns0:f>
        <ns0:v>0.04103671706263499</ns0:v>
      </ns0:c>
      <ns0:c r="I39" s="14" t="str">
        <ns0:f>I8</ns0:f>
        <ns0:v>Unverified</ns0:v>
      </ns0:c>
    </ns0:row>
    <ns0:row r="40" ht="28" customHeight="1">
      <ns0:c r="B40" s="12" t="str">
        <ns0:f>B23</ns0:f>
        <ns0:v>GI Pipes</ns0:v>
      </ns0:c>
      <ns0:c r="C40" s="11">
        <ns0:f>C23</ns0:f>
        <ns0:v>225</ns0:v>
      </ns0:c>
      <ns0:c r="D40" s="11">
        <ns0:f>D23</ns0:f>
        <ns0:v>300</ns0:v>
      </ns0:c>
      <ns0:c r="E40" s="11">
        <ns0:f>E23</ns0:f>
        <ns0:v>75</ns0:v>
      </ns0:c>
      <ns0:c r="F40" s="16">
        <ns0:f>E23/$E$34</ns0:f>
        <ns0:v>0.16198704103671707</ns0:v>
      </ns0:c>
      <ns0:c r="I40" s="14" t="str">
        <ns0:f>I23</ns0:f>
        <ns0:v>Unverified</ns0:v>
      </ns0:c>
    </ns0:row>
    <ns0:row r="41" ht="28" customHeight="1">
      <ns0:c r="B41" s="12" t="str">
        <ns0:f>B32</ns0:f>
        <ns0:v>Swivel Clamp</ns0:v>
      </ns0:c>
      <ns0:c r="C41" s="11">
        <ns0:f>C32</ns0:f>
        <ns0:v>141</ns0:v>
      </ns0:c>
      <ns0:c r="D41" s="11">
        <ns0:f>D32</ns0:f>
        <ns0:v>510</ns0:v>
      </ns0:c>
      <ns0:c r="E41" s="11">
        <ns0:f>E32</ns0:f>
        <ns0:v>369</ns0:v>
      </ns0:c>
      <ns0:c r="F41" s="16">
        <ns0:f>E32/$E$34</ns0:f>
        <ns0:v>0.796976241900648</ns0:v>
      </ns0:c>
      <ns0:c r="I41" s="14" t="str">
        <ns0:f>I32</ns0:f>
        <ns0:v>Unverified</ns0:v>
      </ns0:c>
    </ns0:row>
    <ns0:row r="42" ht="19" customHeight="1"/>
    <ns0:row r="43" ht="39" customHeight="1">
      <ns0:c r="A43" s="6" t="inlineStr">
        <ns0:is>
          <ns0:t>Reconciliation method: confirm description and unit; count at each site; inspect issue/return/transfer records; identify the holder; classify unresolved, found, in transit or confirmed loss; approve corrections with evidence.</ns0:t>
        </ns0:is>
      </ns0:c>
    </ns0:row>
    <ns0:row r="44" ht="19" customHeight="1"/>
    <ns0:row r="45" ht="32" customHeight="1">
      <ns0:c r="A45" s="6" t="inlineStr">
        <ns0:is>
          <ns0:t>Do not add the 463 gaps to recorded stock as a confirmed company total. Different equipment units are counted as recorded units, not equivalent economic assets. Blank cells remain unknown.</ns0:t>
        </ns0:is>
      </ns0:c>
    </ns0:row>
  </ns0:sheetData>
  <ns0:autoFilter ref="A6:L32"/>
  <ns0:mergeCells count="7">
    <ns0:mergeCell ref="A2:L2"/>
    <ns0:mergeCell ref="A43:L43"/>
    <ns0:mergeCell ref="A1:L1"/>
    <ns0:mergeCell ref="A45:L45"/>
    <ns0:mergeCell ref="A3:L3"/>
    <ns0:mergeCell ref="A35:L35"/>
    <ns0:mergeCell ref="A4:L4"/>
  </ns0:mergeCells>
  <ns0:conditionalFormatting sqref="E7:E32">
    <ns0:cfRule type="cellIs" priority="1" operator="greaterThan" dxfId="0">
      <ns0:formula>0</ns0:formula>
    </ns0:cfRule>
  </ns0:conditionalFormatting>
  <ns0:dataValidations count="1">
    <ns0:dataValidation sqref="H7:H32"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1" manualBreakCount="1">
    <ns0:brk id="35" min="0" max="16383" man="1"/>
  </ns0:rowBreaks>
  <ns0:legacyDrawing ns1:id="anysvml"/>
</ns0:worksheet>
</file>

<file path=xl/worksheets/sheet2.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G37"/>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4" customWidth="1" min="1" max="1"/>
    <ns0:col width="15" customWidth="1" min="2" max="2"/>
    <ns0:col width="13" customWidth="1" min="3" max="3"/>
    <ns0:col width="14" customWidth="1" min="4" max="4"/>
    <ns0:col width="20" customWidth="1" min="5" max="5"/>
    <ns0:col width="17" customWidth="1" min="6" max="6"/>
    <ns0:col width="43" customWidth="1" min="7" max="7"/>
  </ns0:cols>
  <ns0:sheetData>
    <ns0:row r="1" ht="34.6" customHeight="1">
      <ns0:c r="A1" s="1" t="inlineStr">
        <ns0:is>
          <ns0:t>BREAKDOWN OF ONE TIME COST WORKSHEET</ns0:t>
        </ns0:is>
      </ns0:c>
    </ns0:row>
    <ns0:row r="2" ht="32" customHeight="1">
      <ns0:c r="A2" s="3" t="inlineStr">
        <ns0:is>
          <ns0:t>Rates and effort are unverified. Full development valuation; distinguish already incurred cost from remaining work before investment approval.</ns0:t>
        </ns0:is>
      </ns0:c>
    </ns0:row>
    <ns0:row r="3" ht="23" customHeight="1">
      <ns0:c r="A3" s="4" t="inlineStr">
        <ns0:is>
          <ns0:t>Blue cells: editable inputs | Gray: supplied data / fixed scope | Green text: formulas | Blank: unknown, never a verified zero</ns0:t>
        </ns0:is>
      </ns0:c>
    </ns0:row>
    <ns0:row r="4" ht="28" customHeight="1">
      <ns0:c r="A4" s="17" t="str">
        <ns0:f>"Planning duration (calendar months): "&amp;'Assumptions and References'!B8&amp;". Enter actual allocated person-months below; calendar duration does not determine effort."</ns0:f>
        <ns0:v>Planning duration (calendar months): 3. Enter actual allocated person-months below; calendar duration does not determine effort.</ns0:v>
      </ns0:c>
    </ns0:row>
    <ns0:row r="5" ht="25.9" customHeight="1">
      <ns0:c r="A5" s="18" t="inlineStr">
        <ns0:is>
          <ns0:t>A. DEVELOPMENT COST</ns0:t>
        </ns0:is>
      </ns0:c>
    </ns0:row>
    <ns0:row r="6" ht="39" customHeight="1">
      <ns0:c r="A6" s="8" t="inlineStr">
        <ns0:is>
          <ns0:t>Description</ns0:t>
        </ns0:is>
      </ns0:c>
      <ns0:c r="B6" s="8" t="inlineStr">
        <ns0:is>
          <ns0:t>Rate (₱ / unit)</ns0:t>
        </ns0:is>
      </ns0:c>
      <ns0:c r="C6" s="8" t="inlineStr">
        <ns0:is>
          <ns0:t>Effort / quantity</ns0:t>
        </ns0:is>
      </ns0:c>
      <ns0:c r="D6" s="8" t="inlineStr">
        <ns0:is>
          <ns0:t>Unit</ns0:t>
        </ns0:is>
      </ns0:c>
      <ns0:c r="E6" s="8" t="inlineStr">
        <ns0:is>
          <ns0:t>Subtotal (₱)</ns0:t>
        </ns0:is>
      </ns0:c>
      <ns0:c r="F6" s="8" t="inlineStr">
        <ns0:is>
          <ns0:t>Treatment</ns0:t>
        </ns0:is>
      </ns0:c>
      <ns0:c r="G6" s="8" t="inlineStr">
        <ns0:is>
          <ns0:t>Basis / scope</ns0:t>
        </ns0:is>
      </ns0:c>
    </ns0:row>
    <ns0:row r="7" ht="53.5" customHeight="1">
      <ns0:c r="A7" s="9" t="inlineStr">
        <ns0:is>
          <ns0:t>System Analyst</ns0:t>
        </ns0:is>
      </ns0:c>
      <ns0:c r="B7" s="13" t="n"/>
      <ns0:c r="C7" s="19" t="n"/>
      <ns0:c r="D7" s="9" t="inlineStr">
        <ns0:is>
          <ns0:t>person-month</ns0:t>
        </ns0:is>
      </ns0:c>
      <ns0:c r="E7" s="14" t="str">
        <ns0:f>IF(OR(F7="Bundled",F7="Not applicable"),0,IF(AND(OR(F7="Estimated",F7="Confirmed"),COUNT(B7:C7)=2),B7*C7,"Insufficient Data"))</ns0:f>
        <ns0:v>Insufficient Data</ns0:v>
      </ns0:c>
      <ns0:c r="F7" s="15" t="inlineStr">
        <ns0:is>
          <ns0:t>To confirm</ns0:t>
        </ns0:is>
      </ns0:c>
      <ns0:c r="G7" s="15" t="inlineStr">
        <ns0:is>
          <ns0:t>Enter allocated person-months; roles may overlap. Do not charge full monthly effort twice.</ns0:t>
        </ns0:is>
      </ns0:c>
    </ns0:row>
    <ns0:row r="8" ht="53.5" customHeight="1">
      <ns0:c r="A8" s="9" t="inlineStr">
        <ns0:is>
          <ns0:t>System Developer / Programmer</ns0:t>
        </ns0:is>
      </ns0:c>
      <ns0:c r="B8" s="13" t="n"/>
      <ns0:c r="C8" s="19" t="n"/>
      <ns0:c r="D8" s="9" t="inlineStr">
        <ns0:is>
          <ns0:t>person-month</ns0:t>
        </ns0:is>
      </ns0:c>
      <ns0:c r="E8" s="14" t="str">
        <ns0:f>IF(OR(F8="Bundled",F8="Not applicable"),0,IF(AND(OR(F8="Estimated",F8="Confirmed"),COUNT(B8:C8)=2),B8*C8,"Insufficient Data"))</ns0:f>
        <ns0:v>Insufficient Data</ns0:v>
      </ns0:c>
      <ns0:c r="F8" s="15" t="inlineStr">
        <ns0:is>
          <ns0:t>To confirm</ns0:t>
        </ns0:is>
      </ns0:c>
      <ns0:c r="G8" s="15" t="inlineStr">
        <ns0:is>
          <ns0:t>Enter allocated person-months; roles may overlap. Do not charge full monthly effort twice.</ns0:t>
        </ns0:is>
      </ns0:c>
    </ns0:row>
    <ns0:row r="9" ht="53.5" customHeight="1">
      <ns0:c r="A9" s="9" t="inlineStr">
        <ns0:is>
          <ns0:t>Database Development</ns0:t>
        </ns0:is>
      </ns0:c>
      <ns0:c r="B9" s="13" t="n"/>
      <ns0:c r="C9" s="19" t="n"/>
      <ns0:c r="D9" s="9" t="inlineStr">
        <ns0:is>
          <ns0:t>person-month</ns0:t>
        </ns0:is>
      </ns0:c>
      <ns0:c r="E9" s="14" t="str">
        <ns0:f>IF(OR(F9="Bundled",F9="Not applicable"),0,IF(AND(OR(F9="Estimated",F9="Confirmed"),COUNT(B9:C9)=2),B9*C9,"Insufficient Data"))</ns0:f>
        <ns0:v>Insufficient Data</ns0:v>
      </ns0:c>
      <ns0:c r="F9" s="15" t="inlineStr">
        <ns0:is>
          <ns0:t>To confirm</ns0:t>
        </ns0:is>
      </ns0:c>
      <ns0:c r="G9" s="15" t="inlineStr">
        <ns0:is>
          <ns0:t>Enter allocated person-months; roles may overlap. Do not charge full monthly effort twice.</ns0:t>
        </ns0:is>
      </ns0:c>
    </ns0:row>
    <ns0:row r="10" ht="53.5" customHeight="1">
      <ns0:c r="A10" s="9" t="inlineStr">
        <ns0:is>
          <ns0:t>System Testing and Quality Assurance</ns0:t>
        </ns0:is>
      </ns0:c>
      <ns0:c r="B10" s="13" t="n"/>
      <ns0:c r="C10" s="19" t="n"/>
      <ns0:c r="D10" s="9" t="inlineStr">
        <ns0:is>
          <ns0:t>person-month</ns0:t>
        </ns0:is>
      </ns0:c>
      <ns0:c r="E10" s="14" t="str">
        <ns0:f>IF(OR(F10="Bundled",F10="Not applicable"),0,IF(AND(OR(F10="Estimated",F10="Confirmed"),COUNT(B10:C10)=2),B10*C10,"Insufficient Data"))</ns0:f>
        <ns0:v>Insufficient Data</ns0:v>
      </ns0:c>
      <ns0:c r="F10" s="15" t="inlineStr">
        <ns0:is>
          <ns0:t>To confirm</ns0:t>
        </ns0:is>
      </ns0:c>
      <ns0:c r="G10" s="15" t="inlineStr">
        <ns0:is>
          <ns0:t>Enter allocated person-months; roles may overlap. Do not charge full monthly effort twice.</ns0:t>
        </ns0:is>
      </ns0:c>
    </ns0:row>
    <ns0:row r="11" ht="53.5" customHeight="1">
      <ns0:c r="A11" s="9" t="inlineStr">
        <ns0:is>
          <ns0:t>Documentation and Implementation</ns0:t>
        </ns0:is>
      </ns0:c>
      <ns0:c r="B11" s="13" t="n"/>
      <ns0:c r="C11" s="19" t="n"/>
      <ns0:c r="D11" s="9" t="inlineStr">
        <ns0:is>
          <ns0:t>person-month</ns0:t>
        </ns0:is>
      </ns0:c>
      <ns0:c r="E11" s="14" t="str">
        <ns0:f>IF(OR(F11="Bundled",F11="Not applicable"),0,IF(AND(OR(F11="Estimated",F11="Confirmed"),COUNT(B11:C11)=2),B11*C11,"Insufficient Data"))</ns0:f>
        <ns0:v>Insufficient Data</ns0:v>
      </ns0:c>
      <ns0:c r="F11" s="15" t="inlineStr">
        <ns0:is>
          <ns0:t>To confirm</ns0:t>
        </ns0:is>
      </ns0:c>
      <ns0:c r="G11" s="15" t="inlineStr">
        <ns0:is>
          <ns0:t>Enter allocated person-months; roles may overlap. Do not charge full monthly effort twice.</ns0:t>
        </ns0:is>
      </ns0:c>
    </ns0:row>
    <ns0:row r="12" ht="28" customHeight="1">
      <ns0:c r="A12" s="20" t="inlineStr">
        <ns0:is>
          <ns0:t>Total development cost</ns0:t>
        </ns0:is>
      </ns0:c>
      <ns0:c r="E12" s="21" t="str">
        <ns0:f>IF(COUNT(E7,E8,E9,E10,E11)=5,SUM(E7,E8,E9,E10,E11),"Insufficient Data")</ns0:f>
        <ns0:v>Insufficient Data</ns0:v>
      </ns0:c>
      <ns0:c r="F12" s="22" t="inlineStr"/>
    </ns0:row>
    <ns0:row r="13" ht="19" customHeight="1"/>
    <ns0:row r="14" ht="25.9" customHeight="1">
      <ns0:c r="A14" s="18" t="inlineStr">
        <ns0:is>
          <ns0:t>B. USER TRAINING</ns0:t>
        </ns0:is>
      </ns0:c>
    </ns0:row>
    <ns0:row r="15" ht="32" customHeight="1">
      <ns0:c r="A15" s="8" t="inlineStr">
        <ns0:is>
          <ns0:t>Description</ns0:t>
        </ns0:is>
      </ns0:c>
      <ns0:c r="B15" s="8" t="inlineStr">
        <ns0:is>
          <ns0:t>Rate (₱ / unit)</ns0:t>
        </ns0:is>
      </ns0:c>
      <ns0:c r="C15" s="8" t="inlineStr">
        <ns0:is>
          <ns0:t>Quantity</ns0:t>
        </ns0:is>
      </ns0:c>
      <ns0:c r="D15" s="8" t="inlineStr">
        <ns0:is>
          <ns0:t>Unit</ns0:t>
        </ns0:is>
      </ns0:c>
      <ns0:c r="E15" s="8" t="inlineStr">
        <ns0:is>
          <ns0:t>Subtotal (₱)</ns0:t>
        </ns0:is>
      </ns0:c>
      <ns0:c r="F15" s="8" t="inlineStr">
        <ns0:is>
          <ns0:t>Treatment</ns0:t>
        </ns0:is>
      </ns0:c>
      <ns0:c r="G15" s="8" t="inlineStr">
        <ns0:is>
          <ns0:t>Basis / scope</ns0:t>
        </ns0:is>
      </ns0:c>
    </ns0:row>
    <ns0:row r="16" ht="53.5" customHeight="1">
      <ns0:c r="A16" s="9" t="inlineStr">
        <ns0:is>
          <ns0:t>Training preparation</ns0:t>
        </ns0:is>
      </ns0:c>
      <ns0:c r="B16" s="13" t="n"/>
      <ns0:c r="C16" s="15" t="n"/>
      <ns0:c r="D16" s="9" t="inlineStr">
        <ns0:is>
          <ns0:t>hour</ns0:t>
        </ns0:is>
      </ns0:c>
      <ns0:c r="E16" s="14" t="str">
        <ns0:f>IF(OR(F16="Bundled",F16="Not applicable"),0,IF(AND(OR(F16="Estimated",F16="Confirmed"),COUNT(B16:C16)=2),B16*C16,"Insufficient Data"))</ns0:f>
        <ns0:v>Insufficient Data</ns0:v>
      </ns0:c>
      <ns0:c r="F16" s="15" t="inlineStr">
        <ns0:is>
          <ns0:t>To confirm</ns0:t>
        </ns0:is>
      </ns0:c>
      <ns0:c r="G16" s="15" t="inlineStr">
        <ns0:is>
          <ns0:t>Separate preparation, orientation and session delivery. Include participant paid time once if incremental.</ns0:t>
        </ns0:is>
      </ns0:c>
    </ns0:row>
    <ns0:row r="17" ht="53.5" customHeight="1">
      <ns0:c r="A17" s="9" t="inlineStr">
        <ns0:is>
          <ns0:t>User orientation</ns0:t>
        </ns0:is>
      </ns0:c>
      <ns0:c r="B17" s="13" t="n"/>
      <ns0:c r="C17" s="15" t="n"/>
      <ns0:c r="D17" s="9" t="inlineStr">
        <ns0:is>
          <ns0:t>hour</ns0:t>
        </ns0:is>
      </ns0:c>
      <ns0:c r="E17" s="14" t="str">
        <ns0:f>IF(OR(F17="Bundled",F17="Not applicable"),0,IF(AND(OR(F17="Estimated",F17="Confirmed"),COUNT(B17:C17)=2),B17*C17,"Insufficient Data"))</ns0:f>
        <ns0:v>Insufficient Data</ns0:v>
      </ns0:c>
      <ns0:c r="F17" s="15" t="inlineStr">
        <ns0:is>
          <ns0:t>To confirm</ns0:t>
        </ns0:is>
      </ns0:c>
      <ns0:c r="G17" s="15" t="inlineStr">
        <ns0:is>
          <ns0:t>Separate preparation, orientation and session delivery. Include participant paid time once if incremental.</ns0:t>
        </ns0:is>
      </ns0:c>
    </ns0:row>
    <ns0:row r="18" ht="53.5" customHeight="1">
      <ns0:c r="A18" s="9" t="inlineStr">
        <ns0:is>
          <ns0:t>Training materials</ns0:t>
        </ns0:is>
      </ns0:c>
      <ns0:c r="B18" s="13" t="n"/>
      <ns0:c r="C18" s="15" t="n"/>
      <ns0:c r="D18" s="9" t="inlineStr">
        <ns0:is>
          <ns0:t>kit</ns0:t>
        </ns0:is>
      </ns0:c>
      <ns0:c r="E18" s="14" t="str">
        <ns0:f>IF(OR(F18="Bundled",F18="Not applicable"),0,IF(AND(OR(F18="Estimated",F18="Confirmed"),COUNT(B18:C18)=2),B18*C18,"Insufficient Data"))</ns0:f>
        <ns0:v>Insufficient Data</ns0:v>
      </ns0:c>
      <ns0:c r="F18" s="15" t="inlineStr">
        <ns0:is>
          <ns0:t>To confirm</ns0:t>
        </ns0:is>
      </ns0:c>
      <ns0:c r="G18" s="15" t="inlineStr">
        <ns0:is>
          <ns0:t>Separate preparation, orientation and session delivery. Include participant paid time once if incremental.</ns0:t>
        </ns0:is>
      </ns0:c>
    </ns0:row>
    <ns0:row r="19" ht="53.5" customHeight="1">
      <ns0:c r="A19" s="9" t="inlineStr">
        <ns0:is>
          <ns0:t>Training sessions</ns0:t>
        </ns0:is>
      </ns0:c>
      <ns0:c r="B19" s="13" t="n"/>
      <ns0:c r="C19" s="15" t="n"/>
      <ns0:c r="D19" s="9" t="inlineStr">
        <ns0:is>
          <ns0:t>session</ns0:t>
        </ns0:is>
      </ns0:c>
      <ns0:c r="E19" s="14" t="str">
        <ns0:f>IF(OR(F19="Bundled",F19="Not applicable"),0,IF(AND(OR(F19="Estimated",F19="Confirmed"),COUNT(B19:C19)=2),B19*C19,"Insufficient Data"))</ns0:f>
        <ns0:v>Insufficient Data</ns0:v>
      </ns0:c>
      <ns0:c r="F19" s="15" t="inlineStr">
        <ns0:is>
          <ns0:t>To confirm</ns0:t>
        </ns0:is>
      </ns0:c>
      <ns0:c r="G19" s="15" t="inlineStr">
        <ns0:is>
          <ns0:t>Separate preparation, orientation and session delivery. Include participant paid time once if incremental.</ns0:t>
        </ns0:is>
      </ns0:c>
    </ns0:row>
    <ns0:row r="20" ht="28" customHeight="1">
      <ns0:c r="A20" s="20" t="inlineStr">
        <ns0:is>
          <ns0:t>Total training cost</ns0:t>
        </ns0:is>
      </ns0:c>
      <ns0:c r="E20" s="21" t="str">
        <ns0:f>IF(COUNT(E16,E17,E18,E19)=4,SUM(E16,E17,E18,E19),"Insufficient Data")</ns0:f>
        <ns0:v>Insufficient Data</ns0:v>
      </ns0:c>
      <ns0:c r="F20" s="22" t="inlineStr"/>
    </ns0:row>
    <ns0:row r="21" ht="19" customHeight="1"/>
    <ns0:row r="22" ht="25.9" customHeight="1">
      <ns0:c r="A22" s="18" t="inlineStr">
        <ns0:is>
          <ns0:t>C. ADDITIONAL HARDWARE / SOFTWARE</ns0:t>
        </ns0:is>
      </ns0:c>
    </ns0:row>
    <ns0:row r="23" ht="39" customHeight="1">
      <ns0:c r="A23" s="8" t="inlineStr">
        <ns0:is>
          <ns0:t>Description</ns0:t>
        </ns0:is>
      </ns0:c>
      <ns0:c r="B23" s="8" t="inlineStr">
        <ns0:is>
          <ns0:t>One-time rate (₱)</ns0:t>
        </ns0:is>
      </ns0:c>
      <ns0:c r="C23" s="8" t="inlineStr">
        <ns0:is>
          <ns0:t>Quantity</ns0:t>
        </ns0:is>
      </ns0:c>
      <ns0:c r="D23" s="8" t="inlineStr">
        <ns0:is>
          <ns0:t>Unit</ns0:t>
        </ns0:is>
      </ns0:c>
      <ns0:c r="E23" s="8" t="inlineStr">
        <ns0:is>
          <ns0:t>Subtotal (₱)</ns0:t>
        </ns0:is>
      </ns0:c>
      <ns0:c r="F23" s="8" t="inlineStr">
        <ns0:is>
          <ns0:t>Treatment</ns0:t>
        </ns0:is>
      </ns0:c>
      <ns0:c r="G23" s="8" t="inlineStr">
        <ns0:is>
          <ns0:t>Basis / scope</ns0:t>
        </ns0:is>
      </ns0:c>
    </ns0:row>
    <ns0:row r="24" ht="53.5" customHeight="1">
      <ns0:c r="A24" s="9" t="inlineStr">
        <ns0:is>
          <ns0:t>Hosting / deployment setup</ns0:t>
        </ns0:is>
      </ns0:c>
      <ns0:c r="B24" s="13" t="n"/>
      <ns0:c r="C24" s="15" t="n">
        <ns0:v>1</ns0:v>
      </ns0:c>
      <ns0:c r="D24" s="9" t="inlineStr">
        <ns0:is>
          <ns0:t>setup / item</ns0:t>
        </ns0:is>
      </ns0:c>
      <ns0:c r="E24" s="14" t="str">
        <ns0:f>IF(OR(F24="Bundled",F24="Not applicable"),0,IF(AND(OR(F24="Estimated",F24="Confirmed"),COUNT(B24:C24)=2),B24*C24,"Insufficient Data"))</ns0:f>
        <ns0:v>Insufficient Data</ns0:v>
      </ns0:c>
      <ns0:c r="F24" s="15" t="inlineStr">
        <ns0:is>
          <ns0:t>To confirm</ns0:t>
        </ns0:is>
      </ns0:c>
      <ns0:c r="G24" s="15" t="inlineStr">
        <ns0:is>
          <ns0:t>Check existing capacity, provider bundles and open-source license terms before adding a charge.</ns0:t>
        </ns0:is>
      </ns0:c>
    </ns0:row>
    <ns0:row r="25" ht="53.5" customHeight="1">
      <ns0:c r="A25" s="9" t="inlineStr">
        <ns0:is>
          <ns0:t>Separate database setup</ns0:t>
        </ns0:is>
      </ns0:c>
      <ns0:c r="B25" s="13" t="n"/>
      <ns0:c r="C25" s="15" t="n">
        <ns0:v>1</ns0:v>
      </ns0:c>
      <ns0:c r="D25" s="9" t="inlineStr">
        <ns0:is>
          <ns0:t>setup / item</ns0:t>
        </ns0:is>
      </ns0:c>
      <ns0:c r="E25" s="14" t="str">
        <ns0:f>IF(OR(F25="Bundled",F25="Not applicable"),0,IF(AND(OR(F25="Estimated",F25="Confirmed"),COUNT(B25:C25)=2),B25*C25,"Insufficient Data"))</ns0:f>
        <ns0:v>Insufficient Data</ns0:v>
      </ns0:c>
      <ns0:c r="F25" s="15" t="inlineStr">
        <ns0:is>
          <ns0:t>To confirm</ns0:t>
        </ns0:is>
      </ns0:c>
      <ns0:c r="G25" s="15" t="inlineStr">
        <ns0:is>
          <ns0:t>Check existing capacity, provider bundles and open-source license terms before adding a charge.</ns0:t>
        </ns0:is>
      </ns0:c>
    </ns0:row>
    <ns0:row r="26" ht="53.5" customHeight="1">
      <ns0:c r="A26" s="9" t="inlineStr">
        <ns0:is>
          <ns0:t>Backup storage setup</ns0:t>
        </ns0:is>
      </ns0:c>
      <ns0:c r="B26" s="13" t="n"/>
      <ns0:c r="C26" s="15" t="n">
        <ns0:v>1</ns0:v>
      </ns0:c>
      <ns0:c r="D26" s="9" t="inlineStr">
        <ns0:is>
          <ns0:t>setup / item</ns0:t>
        </ns0:is>
      </ns0:c>
      <ns0:c r="E26" s="14" t="str">
        <ns0:f>IF(OR(F26="Bundled",F26="Not applicable"),0,IF(AND(OR(F26="Estimated",F26="Confirmed"),COUNT(B26:C26)=2),B26*C26,"Insufficient Data"))</ns0:f>
        <ns0:v>Insufficient Data</ns0:v>
      </ns0:c>
      <ns0:c r="F26" s="15" t="inlineStr">
        <ns0:is>
          <ns0:t>To confirm</ns0:t>
        </ns0:is>
      </ns0:c>
      <ns0:c r="G26" s="15" t="inlineStr">
        <ns0:is>
          <ns0:t>Check existing capacity, provider bundles and open-source license terms before adding a charge.</ns0:t>
        </ns0:is>
      </ns0:c>
    </ns0:row>
    <ns0:row r="27" ht="53.5" customHeight="1">
      <ns0:c r="A27" s="9" t="inlineStr">
        <ns0:is>
          <ns0:t>Domain / SSL setup</ns0:t>
        </ns0:is>
      </ns0:c>
      <ns0:c r="B27" s="13" t="n"/>
      <ns0:c r="C27" s="15" t="n">
        <ns0:v>1</ns0:v>
      </ns0:c>
      <ns0:c r="D27" s="9" t="inlineStr">
        <ns0:is>
          <ns0:t>setup / item</ns0:t>
        </ns0:is>
      </ns0:c>
      <ns0:c r="E27" s="14" t="str">
        <ns0:f>IF(OR(F27="Bundled",F27="Not applicable"),0,IF(AND(OR(F27="Estimated",F27="Confirmed"),COUNT(B27:C27)=2),B27*C27,"Insufficient Data"))</ns0:f>
        <ns0:v>Insufficient Data</ns0:v>
      </ns0:c>
      <ns0:c r="F27" s="15" t="inlineStr">
        <ns0:is>
          <ns0:t>To confirm</ns0:t>
        </ns0:is>
      </ns0:c>
      <ns0:c r="G27" s="15" t="inlineStr">
        <ns0:is>
          <ns0:t>Check existing capacity, provider bundles and open-source license terms before adding a charge.</ns0:t>
        </ns0:is>
      </ns0:c>
    </ns0:row>
    <ns0:row r="28" ht="53.5" customHeight="1">
      <ns0:c r="A28" s="9" t="inlineStr">
        <ns0:is>
          <ns0:t>Additional hardware</ns0:t>
        </ns0:is>
      </ns0:c>
      <ns0:c r="B28" s="13" t="n"/>
      <ns0:c r="C28" s="15" t="n">
        <ns0:v>1</ns0:v>
      </ns0:c>
      <ns0:c r="D28" s="9" t="inlineStr">
        <ns0:is>
          <ns0:t>setup / item</ns0:t>
        </ns0:is>
      </ns0:c>
      <ns0:c r="E28" s="14" t="str">
        <ns0:f>IF(OR(F28="Bundled",F28="Not applicable"),0,IF(AND(OR(F28="Estimated",F28="Confirmed"),COUNT(B28:C28)=2),B28*C28,"Insufficient Data"))</ns0:f>
        <ns0:v>Insufficient Data</ns0:v>
      </ns0:c>
      <ns0:c r="F28" s="15" t="inlineStr">
        <ns0:is>
          <ns0:t>To confirm</ns0:t>
        </ns0:is>
      </ns0:c>
      <ns0:c r="G28" s="15" t="inlineStr">
        <ns0:is>
          <ns0:t>Check existing capacity, provider bundles and open-source license terms before adding a charge.</ns0:t>
        </ns0:is>
      </ns0:c>
    </ns0:row>
    <ns0:row r="29" ht="53.5" customHeight="1">
      <ns0:c r="A29" s="9" t="inlineStr">
        <ns0:is>
          <ns0:t>Other necessary licenses</ns0:t>
        </ns0:is>
      </ns0:c>
      <ns0:c r="B29" s="13" t="n"/>
      <ns0:c r="C29" s="15" t="n">
        <ns0:v>1</ns0:v>
      </ns0:c>
      <ns0:c r="D29" s="9" t="inlineStr">
        <ns0:is>
          <ns0:t>setup / item</ns0:t>
        </ns0:is>
      </ns0:c>
      <ns0:c r="E29" s="14" t="str">
        <ns0:f>IF(OR(F29="Bundled",F29="Not applicable"),0,IF(AND(OR(F29="Estimated",F29="Confirmed"),COUNT(B29:C29)=2),B29*C29,"Insufficient Data"))</ns0:f>
        <ns0:v>Insufficient Data</ns0:v>
      </ns0:c>
      <ns0:c r="F29" s="15" t="inlineStr">
        <ns0:is>
          <ns0:t>To confirm</ns0:t>
        </ns0:is>
      </ns0:c>
      <ns0:c r="G29" s="15" t="inlineStr">
        <ns0:is>
          <ns0:t>Check existing capacity, provider bundles and open-source license terms before adding a charge.</ns0:t>
        </ns0:is>
      </ns0:c>
    </ns0:row>
    <ns0:row r="30" ht="28" customHeight="1">
      <ns0:c r="A30" s="20" t="inlineStr">
        <ns0:is>
          <ns0:t>Total hardware / software cost</ns0:t>
        </ns0:is>
      </ns0:c>
      <ns0:c r="E30" s="21" t="str">
        <ns0:f>IF(COUNT(E24,E25,E26,E27,E28,E29)=6,SUM(E24,E25,E26,E27,E28,E29),"Insufficient Data")</ns0:f>
        <ns0:v>Insufficient Data</ns0:v>
      </ns0:c>
      <ns0:c r="F30" s="22" t="inlineStr"/>
    </ns0:row>
    <ns0:row r="31" ht="19" customHeight="1"/>
    <ns0:row r="32" ht="19" customHeight="1"/>
    <ns0:row r="33" ht="28" customHeight="1">
      <ns0:c r="A33" s="20" t="inlineStr">
        <ns0:is>
          <ns0:t>TOTAL ONE-TIME COST</ns0:t>
        </ns0:is>
      </ns0:c>
      <ns0:c r="E33" s="21" t="str">
        <ns0:f>IF(COUNT(E12,E20,E30)=3,SUM(E12,E20,E30),"Insufficient Data")</ns0:f>
        <ns0:v>Insufficient Data</ns0:v>
      </ns0:c>
      <ns0:c r="F33" s="22" t="inlineStr"/>
    </ns0:row>
    <ns0:row r="34" ht="19" customHeight="1"/>
    <ns0:row r="35" ht="39" customHeight="1">
      <ns0:c r="A35" s="6" t="inlineStr">
        <ns0:is>
          <ns0:t>Total = development + user training + additional hardware/software. Mark a separately listed bundled charge as Bundled; cite the bundle in its basis. A free tier or existing device is not presumed sufficient.</ns0:t>
        </ns0:is>
      </ns0:c>
    </ns0:row>
    <ns0:row r="36" ht="19" customHeight="1"/>
    <ns0:row r="37" ht="39" customHeight="1">
      <ns0:c r="A37" s="6" t="inlineStr">
        <ns0:is>
          <ns0:t>₱178,500 in the teaching photograph belongs to another project and is excluded. Paid effort already incurred must be separated from future cash outlay before making a forward investment decision.</ns0:t>
        </ns0:is>
      </ns0:c>
    </ns0:row>
  </ns0:sheetData>
  <ns0:mergeCells count="17">
    <ns0:mergeCell ref="A14:G14"/>
    <ns0:mergeCell ref="F12:G12"/>
    <ns0:mergeCell ref="A1:G1"/>
    <ns0:mergeCell ref="F30:G30"/>
    <ns0:mergeCell ref="A3:G3"/>
    <ns0:mergeCell ref="A12:D12"/>
    <ns0:mergeCell ref="A22:G22"/>
    <ns0:mergeCell ref="A20:D20"/>
    <ns0:mergeCell ref="F20:G20"/>
    <ns0:mergeCell ref="A4:G4"/>
    <ns0:mergeCell ref="A30:D30"/>
    <ns0:mergeCell ref="F33:G33"/>
    <ns0:mergeCell ref="A35:G35"/>
    <ns0:mergeCell ref="A2:G2"/>
    <ns0:mergeCell ref="A33:D33"/>
    <ns0:mergeCell ref="A5:G5"/>
    <ns0:mergeCell ref="A37:G37"/>
  </ns0:mergeCells>
  <ns0:dataValidations count="6">
    <ns0:dataValidation sqref="F7:F11" showDropDown="0" showInputMessage="0" showErrorMessage="1" allowBlank="0" errorTitle="Choose a listed treatment" error="Use a value from the list." type="list" errorStyle="stop">
      <ns0:formula1>"To confirm,Estimated,Confirmed,Bundled,Not applicable"</ns0:formula1>
    </ns0:dataValidation>
    <ns0:dataValidation sqref="F16:F19" showDropDown="0" showInputMessage="0" showErrorMessage="1" allowBlank="0" errorTitle="Choose a listed treatment" error="Use a value from the list." type="list" errorStyle="stop">
      <ns0:formula1>"To confirm,Estimated,Confirmed,Bundled,Not applicable"</ns0:formula1>
    </ns0:dataValidation>
    <ns0:dataValidation sqref="F24:F29" showDropDown="0" showInputMessage="0" showErrorMessage="1" allowBlank="0" errorTitle="Choose a listed treatment" error="Use a value from the list." type="list" errorStyle="stop">
      <ns0:formula1>"To confirm,Estimated,Confirmed,Bundled,Not applicable"</ns0:formula1>
    </ns0:dataValidation>
    <ns0:dataValidation sqref="B7:C11" showDropDown="0" showInputMessage="0" showErrorMessage="1" allowBlank="1" error="Enter a non-negative number." type="decimal" errorStyle="stop" operator="between">
      <ns0:formula1>0</ns0:formula1>
      <ns0:formula2>1000000000</ns0:formula2>
    </ns0:dataValidation>
    <ns0:dataValidation sqref="B16:C19" showDropDown="0" showInputMessage="0" showErrorMessage="1" allowBlank="1" error="Enter a non-negative number." type="decimal" errorStyle="stop" operator="between">
      <ns0:formula1>0</ns0:formula1>
      <ns0:formula2>1000000000</ns0:formula2>
    </ns0:dataValidation>
    <ns0:dataValidation sqref="B24:C29"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1" manualBreakCount="1">
    <ns0:brk id="20" min="0" max="16383" man="1"/>
  </ns0:rowBreaks>
  <ns0:legacyDrawing ns1:id="anysvml"/>
</ns0:worksheet>
</file>

<file path=xl/worksheets/sheet3.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G20"/>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4" customWidth="1" min="1" max="1"/>
    <ns0:col width="15" customWidth="1" min="2" max="2"/>
    <ns0:col width="12" customWidth="1" min="3" max="3"/>
    <ns0:col width="16" customWidth="1" min="4" max="4"/>
    <ns0:col width="20" customWidth="1" min="5" max="5"/>
    <ns0:col width="17" customWidth="1" min="6" max="6"/>
    <ns0:col width="45" customWidth="1" min="7" max="7"/>
  </ns0:cols>
  <ns0:sheetData>
    <ns0:row r="1" ht="34.6" customHeight="1">
      <ns0:c r="A1" s="1" t="inlineStr">
        <ns0:is>
          <ns0:t>RECURRING SYSTEM COSTS</ns0:t>
        </ns0:is>
      </ns0:c>
    </ns0:row>
    <ns0:row r="2" ht="32" customHeight="1">
      <ns0:c r="A2" s="3" t="inlineStr">
        <ns0:is>
          <ns0:t>Annual incremental system expenses. Confirm production usage, shared-service allocation and bundled services.</ns0:t>
        </ns0:is>
      </ns0:c>
    </ns0:row>
    <ns0:row r="3" ht="23" customHeight="1">
      <ns0:c r="A3" s="4" t="inlineStr">
        <ns0:is>
          <ns0:t>Blue cells: editable inputs | Gray: supplied data / fixed scope | Green text: formulas | Blank: unknown, never a verified zero</ns0:t>
        </ns0:is>
      </ns0:c>
    </ns0:row>
    <ns0:row r="4" ht="19" customHeight="1"/>
    <ns0:row r="5" ht="19" customHeight="1"/>
    <ns0:row r="6" ht="32" customHeight="1">
      <ns0:c r="A6" s="8" t="inlineStr">
        <ns0:is>
          <ns0:t>Description</ns0:t>
        </ns0:is>
      </ns0:c>
      <ns0:c r="B6" s="8" t="inlineStr">
        <ns0:is>
          <ns0:t>Rate (₱ / event)</ns0:t>
        </ns0:is>
      </ns0:c>
      <ns0:c r="C6" s="8" t="inlineStr">
        <ns0:is>
          <ns0:t>Quantity</ns0:t>
        </ns0:is>
      </ns0:c>
      <ns0:c r="D6" s="8" t="inlineStr">
        <ns0:is>
          <ns0:t>Events per year</ns0:t>
        </ns0:is>
      </ns0:c>
      <ns0:c r="E6" s="8" t="inlineStr">
        <ns0:is>
          <ns0:t>Annual subtotal (₱)</ns0:t>
        </ns0:is>
      </ns0:c>
      <ns0:c r="F6" s="8" t="inlineStr">
        <ns0:is>
          <ns0:t>Treatment</ns0:t>
        </ns0:is>
      </ns0:c>
      <ns0:c r="G6" s="8" t="inlineStr">
        <ns0:is>
          <ns0:t>Basis / scope</ns0:t>
        </ns0:is>
      </ns0:c>
    </ns0:row>
    <ns0:row r="7" ht="53.5" customHeight="1">
      <ns0:c r="A7" s="9" t="inlineStr">
        <ns0:is>
          <ns0:t>System maintenance</ns0:t>
        </ns0:is>
      </ns0:c>
      <ns0:c r="B7" s="13" t="n"/>
      <ns0:c r="C7" s="15" t="n">
        <ns0:v>1</ns0:v>
      </ns0:c>
      <ns0:c r="D7" s="15" t="n">
        <ns0:v>12</ns0:v>
      </ns0:c>
      <ns0:c r="E7" s="14" t="str">
        <ns0:f>IF(OR(F7="Bundled",F7="Not applicable"),0,IF(AND(OR(F7="Estimated",F7="Confirmed"),COUNT(B7:D7)=3),B7*C7*D7,"Insufficient Data"))</ns0:f>
        <ns0:v>Insufficient Data</ns0:v>
      </ns0:c>
      <ns0:c r="F7" s="15" t="inlineStr">
        <ns0:is>
          <ns0:t>To confirm</ns0:t>
        </ns0:is>
      </ns0:c>
      <ns0:c r="G7" s="15" t="inlineStr">
        <ns0:is>
          <ns0:t>Maintenance excludes separately billed support. Count shared charges only at the incremental attributable amount.</ns0:t>
        </ns0:is>
      </ns0:c>
    </ns0:row>
    <ns0:row r="8" ht="53.5" customHeight="1">
      <ns0:c r="A8" s="9" t="inlineStr">
        <ns0:is>
          <ns0:t>Hosting</ns0:t>
        </ns0:is>
      </ns0:c>
      <ns0:c r="B8" s="13" t="n"/>
      <ns0:c r="C8" s="15" t="n">
        <ns0:v>1</ns0:v>
      </ns0:c>
      <ns0:c r="D8" s="15" t="n">
        <ns0:v>12</ns0:v>
      </ns0:c>
      <ns0:c r="E8" s="14" t="str">
        <ns0:f>IF(OR(F8="Bundled",F8="Not applicable"),0,IF(AND(OR(F8="Estimated",F8="Confirmed"),COUNT(B8:D8)=3),B8*C8*D8,"Insufficient Data"))</ns0:f>
        <ns0:v>Insufficient Data</ns0:v>
      </ns0:c>
      <ns0:c r="F8" s="15" t="inlineStr">
        <ns0:is>
          <ns0:t>To confirm</ns0:t>
        </ns0:is>
      </ns0:c>
      <ns0:c r="G8" s="15" t="inlineStr">
        <ns0:is>
          <ns0:t>No provider quote or approved allocation supplied. Bundle evidence or no-cost basis required.</ns0:t>
        </ns0:is>
      </ns0:c>
    </ns0:row>
    <ns0:row r="9" ht="53.5" customHeight="1">
      <ns0:c r="A9" s="9" t="inlineStr">
        <ns0:is>
          <ns0:t>Database service charges</ns0:t>
        </ns0:is>
      </ns0:c>
      <ns0:c r="B9" s="13" t="n"/>
      <ns0:c r="C9" s="15" t="n">
        <ns0:v>1</ns0:v>
      </ns0:c>
      <ns0:c r="D9" s="15" t="n">
        <ns0:v>12</ns0:v>
      </ns0:c>
      <ns0:c r="E9" s="14" t="str">
        <ns0:f>IF(OR(F9="Bundled",F9="Not applicable"),0,IF(AND(OR(F9="Estimated",F9="Confirmed"),COUNT(B9:D9)=3),B9*C9*D9,"Insufficient Data"))</ns0:f>
        <ns0:v>Insufficient Data</ns0:v>
      </ns0:c>
      <ns0:c r="F9" s="15" t="inlineStr">
        <ns0:is>
          <ns0:t>To confirm</ns0:t>
        </ns0:is>
      </ns0:c>
      <ns0:c r="G9" s="15" t="inlineStr">
        <ns0:is>
          <ns0:t>No provider quote or approved allocation supplied. Bundle evidence or no-cost basis required.</ns0:t>
        </ns0:is>
      </ns0:c>
    </ns0:row>
    <ns0:row r="10" ht="53.5" customHeight="1">
      <ns0:c r="A10" s="9" t="inlineStr">
        <ns0:is>
          <ns0:t>Data backup and storage</ns0:t>
        </ns0:is>
      </ns0:c>
      <ns0:c r="B10" s="13" t="n"/>
      <ns0:c r="C10" s="15" t="n">
        <ns0:v>1</ns0:v>
      </ns0:c>
      <ns0:c r="D10" s="15" t="n">
        <ns0:v>12</ns0:v>
      </ns0:c>
      <ns0:c r="E10" s="14" t="str">
        <ns0:f>IF(OR(F10="Bundled",F10="Not applicable"),0,IF(AND(OR(F10="Estimated",F10="Confirmed"),COUNT(B10:D10)=3),B10*C10*D10,"Insufficient Data"))</ns0:f>
        <ns0:v>Insufficient Data</ns0:v>
      </ns0:c>
      <ns0:c r="F10" s="15" t="inlineStr">
        <ns0:is>
          <ns0:t>To confirm</ns0:t>
        </ns0:is>
      </ns0:c>
      <ns0:c r="G10" s="15" t="inlineStr">
        <ns0:is>
          <ns0:t>No provider quote or approved allocation supplied. Bundle evidence or no-cost basis required.</ns0:t>
        </ns0:is>
      </ns0:c>
    </ns0:row>
    <ns0:row r="11" ht="53.5" customHeight="1">
      <ns0:c r="A11" s="9" t="inlineStr">
        <ns0:is>
          <ns0:t>Incremental internet / communication</ns0:t>
        </ns0:is>
      </ns0:c>
      <ns0:c r="B11" s="13" t="n"/>
      <ns0:c r="C11" s="15" t="n">
        <ns0:v>1</ns0:v>
      </ns0:c>
      <ns0:c r="D11" s="15" t="n">
        <ns0:v>12</ns0:v>
      </ns0:c>
      <ns0:c r="E11" s="14" t="str">
        <ns0:f>IF(OR(F11="Bundled",F11="Not applicable"),0,IF(AND(OR(F11="Estimated",F11="Confirmed"),COUNT(B11:D11)=3),B11*C11*D11,"Insufficient Data"))</ns0:f>
        <ns0:v>Insufficient Data</ns0:v>
      </ns0:c>
      <ns0:c r="F11" s="15" t="inlineStr">
        <ns0:is>
          <ns0:t>To confirm</ns0:t>
        </ns0:is>
      </ns0:c>
      <ns0:c r="G11" s="15" t="inlineStr">
        <ns0:is>
          <ns0:t>No provider quote or approved allocation supplied. Bundle evidence or no-cost basis required.</ns0:t>
        </ns0:is>
      </ns0:c>
    </ns0:row>
    <ns0:row r="12" ht="53.5" customHeight="1">
      <ns0:c r="A12" s="9" t="inlineStr">
        <ns0:is>
          <ns0:t>Software / domain renewals</ns0:t>
        </ns0:is>
      </ns0:c>
      <ns0:c r="B12" s="13" t="n"/>
      <ns0:c r="C12" s="15" t="n">
        <ns0:v>1</ns0:v>
      </ns0:c>
      <ns0:c r="D12" s="15" t="n">
        <ns0:v>1</ns0:v>
      </ns0:c>
      <ns0:c r="E12" s="14" t="str">
        <ns0:f>IF(OR(F12="Bundled",F12="Not applicable"),0,IF(AND(OR(F12="Estimated",F12="Confirmed"),COUNT(B12:D12)=3),B12*C12*D12,"Insufficient Data"))</ns0:f>
        <ns0:v>Insufficient Data</ns0:v>
      </ns0:c>
      <ns0:c r="F12" s="15" t="inlineStr">
        <ns0:is>
          <ns0:t>To confirm</ns0:t>
        </ns0:is>
      </ns0:c>
      <ns0:c r="G12" s="15" t="inlineStr">
        <ns0:is>
          <ns0:t>No provider quote or approved allocation supplied. Bundle evidence or no-cost basis required.</ns0:t>
        </ns0:is>
      </ns0:c>
    </ns0:row>
    <ns0:row r="13" ht="53.5" customHeight="1">
      <ns0:c r="A13" s="9" t="inlineStr">
        <ns0:is>
          <ns0:t>Technical support</ns0:t>
        </ns0:is>
      </ns0:c>
      <ns0:c r="B13" s="13" t="n"/>
      <ns0:c r="C13" s="15" t="n">
        <ns0:v>1</ns0:v>
      </ns0:c>
      <ns0:c r="D13" s="15" t="n">
        <ns0:v>12</ns0:v>
      </ns0:c>
      <ns0:c r="E13" s="14" t="str">
        <ns0:f>IF(OR(F13="Bundled",F13="Not applicable"),0,IF(AND(OR(F13="Estimated",F13="Confirmed"),COUNT(B13:D13)=3),B13*C13*D13,"Insufficient Data"))</ns0:f>
        <ns0:v>Insufficient Data</ns0:v>
      </ns0:c>
      <ns0:c r="F13" s="15" t="inlineStr">
        <ns0:is>
          <ns0:t>To confirm</ns0:t>
        </ns0:is>
      </ns0:c>
      <ns0:c r="G13" s="15" t="inlineStr">
        <ns0:is>
          <ns0:t>No provider quote or approved allocation supplied. Bundle evidence or no-cost basis required.</ns0:t>
        </ns0:is>
      </ns0:c>
    </ns0:row>
    <ns0:row r="14" ht="53.5" customHeight="1">
      <ns0:c r="A14" s="9" t="inlineStr">
        <ns0:is>
          <ns0:t>Other recurring costs / scheduler</ns0:t>
        </ns0:is>
      </ns0:c>
      <ns0:c r="B14" s="13" t="n"/>
      <ns0:c r="C14" s="15" t="n">
        <ns0:v>1</ns0:v>
      </ns0:c>
      <ns0:c r="D14" s="15" t="n">
        <ns0:v>1</ns0:v>
      </ns0:c>
      <ns0:c r="E14" s="14" t="str">
        <ns0:f>IF(OR(F14="Bundled",F14="Not applicable"),0,IF(AND(OR(F14="Estimated",F14="Confirmed"),COUNT(B14:D14)=3),B14*C14*D14,"Insufficient Data"))</ns0:f>
        <ns0:v>Insufficient Data</ns0:v>
      </ns0:c>
      <ns0:c r="F14" s="15" t="inlineStr">
        <ns0:is>
          <ns0:t>To confirm</ns0:t>
        </ns0:is>
      </ns0:c>
      <ns0:c r="G14" s="15" t="inlineStr">
        <ns0:is>
          <ns0:t>No provider quote or approved allocation supplied. Bundle evidence or no-cost basis required.</ns0:t>
        </ns0:is>
      </ns0:c>
    </ns0:row>
    <ns0:row r="15" ht="19" customHeight="1"/>
    <ns0:row r="16" ht="28" customHeight="1">
      <ns0:c r="A16" s="20" t="inlineStr">
        <ns0:is>
          <ns0:t>TOTAL ANNUAL RECURRING COST</ns0:t>
        </ns0:is>
      </ns0:c>
      <ns0:c r="E16" s="21" t="str">
        <ns0:f>IF(COUNT(E7,E8,E9,E10,E11,E12,E13,E14)=8,SUM(E7,E8,E9,E10,E11,E12,E13,E14),"Insufficient Data")</ns0:f>
        <ns0:v>Insufficient Data</ns0:v>
      </ns0:c>
      <ns0:c r="F16" s="22" t="inlineStr"/>
    </ns0:row>
    <ns0:row r="17" ht="19" customHeight="1"/>
    <ns0:row r="18" ht="39" customHeight="1">
      <ns0:c r="A18" s="6" t="inlineStr">
        <ns0:is>
          <ns0:t>Default quantities and billing frequencies are editable modelling conventions, not purchased subscriptions. Database and storage may be bundled with hosting; use Bundled only after confirmation.</ns0:t>
        </ns0:is>
      </ns0:c>
    </ns0:row>
    <ns0:row r="19" ht="19" customHeight="1"/>
    <ns0:row r="20" ht="34" customHeight="1">
      <ns0:c r="A20" s="6" t="inlineStr">
        <ns0:is>
          <ns0:t>Technical support is owned by this sheet. Do not repeat it in Proposed Operating Costs. ₱20,500 in the teaching photograph is not a SiteTrace recurring cost.</ns0:t>
        </ns0:is>
      </ns0:c>
    </ns0:row>
  </ns0:sheetData>
  <ns0:mergeCells count="7">
    <ns0:mergeCell ref="A1:G1"/>
    <ns0:mergeCell ref="A18:G18"/>
    <ns0:mergeCell ref="F16:G16"/>
    <ns0:mergeCell ref="A3:G3"/>
    <ns0:mergeCell ref="A20:G20"/>
    <ns0:mergeCell ref="A2:G2"/>
    <ns0:mergeCell ref="A16:D16"/>
  </ns0:mergeCells>
  <ns0:dataValidations count="2">
    <ns0:dataValidation sqref="F7:F14" showDropDown="0" showInputMessage="0" showErrorMessage="1" allowBlank="0" errorTitle="Choose a listed treatment" error="Use a value from the list." type="list" errorStyle="stop">
      <ns0:formula1>"To confirm,Estimated,Confirmed,Bundled,Not applicable"</ns0:formula1>
    </ns0:dataValidation>
    <ns0:dataValidation sqref="B7:D14"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legacyDrawing ns1:id="anysvml"/>
</ns0:worksheet>
</file>

<file path=xl/worksheets/sheet4.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I38"/>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2" customWidth="1" min="1" max="1"/>
    <ns0:col width="13" customWidth="1" min="2" max="2"/>
    <ns0:col width="9" customWidth="1" min="3" max="3"/>
    <ns0:col width="12" customWidth="1" min="4" max="4"/>
    <ns0:col width="15" customWidth="1" min="5" max="5"/>
    <ns0:col width="16" customWidth="1" min="6" max="6"/>
    <ns0:col width="18" customWidth="1" min="7" max="7"/>
    <ns0:col width="16" customWidth="1" min="8" max="8"/>
    <ns0:col width="40" customWidth="1" min="9" max="9"/>
  </ns0:cols>
  <ns0:sheetData>
    <ns0:row r="1" ht="34.6" customHeight="1">
      <ns0:c r="A1" s="1" t="inlineStr">
        <ns0:is>
          <ns0:t>EXISTING SYSTEM OPERATING COSTS</ns0:t>
        </ns0:is>
      </ns0:c>
    </ns0:row>
    <ns0:row r="2" ht="32" customHeight="1">
      <ns0:c r="A2" s="3" t="inlineStr">
        <ns0:is>
          <ns0:t>Labour is an allocated productivity cost. It is not a payroll saving. Activity timing, staffing and wages have not been measured.</ns0:t>
        </ns0:is>
      </ns0:c>
    </ns0:row>
    <ns0:row r="3" ht="23" customHeight="1">
      <ns0:c r="A3" s="4" t="inlineStr">
        <ns0:is>
          <ns0:t>Blue cells: editable inputs | Gray: supplied data / fixed scope | Green text: formulas | Blank: unknown, never a verified zero</ns0:t>
        </ns0:is>
      </ns0:c>
    </ns0:row>
    <ns0:row r="4" ht="19" customHeight="1"/>
    <ns0:row r="5" ht="25.9" customHeight="1">
      <ns0:c r="A5" s="18" t="inlineStr">
        <ns0:is>
          <ns0:t>A. ACTIVITY LABOUR / CAPACITY</ns0:t>
        </ns0:is>
      </ns0:c>
    </ns0:row>
    <ns0:row r="6" ht="53.5" customHeight="1">
      <ns0:c r="A6" s="8" t="inlineStr">
        <ns0:is>
          <ns0:t>Activity</ns0:t>
        </ns0:is>
      </ns0:c>
      <ns0:c r="B6" s="8" t="inlineStr">
        <ns0:is>
          <ns0:t>Hours / person / event</ns0:t>
        </ns0:is>
      </ns0:c>
      <ns0:c r="C6" s="8" t="inlineStr">
        <ns0:is>
          <ns0:t>Staff</ns0:t>
        </ns0:is>
      </ns0:c>
      <ns0:c r="D6" s="8" t="inlineStr">
        <ns0:is>
          <ns0:t>Events / year</ns0:t>
        </ns0:is>
      </ns0:c>
      <ns0:c r="E6" s="8" t="inlineStr">
        <ns0:is>
          <ns0:t>Hourly rate (₱)</ns0:t>
        </ns0:is>
      </ns0:c>
      <ns0:c r="F6" s="8" t="inlineStr">
        <ns0:is>
          <ns0:t>Annual person-hours</ns0:t>
        </ns0:is>
      </ns0:c>
      <ns0:c r="G6" s="8" t="inlineStr">
        <ns0:is>
          <ns0:t>Allocated labour (₱)</ns0:t>
        </ns0:is>
      </ns0:c>
      <ns0:c r="H6" s="8" t="inlineStr">
        <ns0:is>
          <ns0:t>Treatment</ns0:t>
        </ns0:is>
      </ns0:c>
      <ns0:c r="I6" s="8" t="inlineStr">
        <ns0:is>
          <ns0:t>Measurement basis</ns0:t>
        </ns0:is>
      </ns0:c>
    </ns0:row>
    <ns0:row r="7" ht="53.5" customHeight="1">
      <ns0:c r="A7" s="9" t="inlineStr">
        <ns0:is>
          <ns0:t>Inventory monitoring / updates</ns0:t>
        </ns0:is>
      </ns0:c>
      <ns0:c r="B7" s="19" t="n"/>
      <ns0:c r="C7" s="15" t="n">
        <ns0:v>1</ns0:v>
      </ns0:c>
      <ns0:c r="D7" s="15" t="n"/>
      <ns0:c r="E7" s="13" t="n"/>
      <ns0:c r="F7" s="23" t="str">
        <ns0:f>IF(H7="Not applicable",0,IF(AND(OR(H7="Estimated",H7="Confirmed"),COUNT(B7:D7)=3),B7*C7*D7,"Insufficient Data"))</ns0:f>
        <ns0:v>Insufficient Data</ns0:v>
      </ns0:c>
      <ns0:c r="G7" s="14" t="str">
        <ns0:f>IF(H7="Not applicable",0,IF(COUNT(E7:F7)=2,E7*F7,"Insufficient Data"))</ns0:f>
        <ns0:v>Insufficient Data</ns0:v>
      </ns0:c>
      <ns0:c r="H7" s="15" t="inlineStr">
        <ns0:is>
          <ns0:t>To confirm</ns0:t>
        </ns0:is>
      </ns0:c>
      <ns0:c r="I7" s="15" t="inlineStr">
        <ns0:is>
          <ns0:t>Use disjoint tasks and timesheets; avoid overlap between reconciliation and follow-up work.</ns0:t>
        </ns0:is>
      </ns0:c>
    </ns0:row>
    <ns0:row r="8" ht="53.5" customHeight="1">
      <ns0:c r="A8" s="9" t="inlineStr">
        <ns0:is>
          <ns0:t>Manual report preparation</ns0:t>
        </ns0:is>
      </ns0:c>
      <ns0:c r="B8" s="19" t="n"/>
      <ns0:c r="C8" s="15" t="n">
        <ns0:v>1</ns0:v>
      </ns0:c>
      <ns0:c r="D8" s="15" t="n">
        <ns0:v>52</ns0:v>
      </ns0:c>
      <ns0:c r="E8" s="13" t="n"/>
      <ns0:c r="F8" s="23" t="str">
        <ns0:f>IF(H8="Not applicable",0,IF(AND(OR(H8="Estimated",H8="Confirmed"),COUNT(B8:D8)=3),B8*C8*D8,"Insufficient Data"))</ns0:f>
        <ns0:v>Insufficient Data</ns0:v>
      </ns0:c>
      <ns0:c r="G8" s="14" t="str">
        <ns0:f>IF(H8="Not applicable",0,IF(COUNT(E8:F8)=2,E8*F8,"Insufficient Data"))</ns0:f>
        <ns0:v>Insufficient Data</ns0:v>
      </ns0:c>
      <ns0:c r="H8" s="15" t="inlineStr">
        <ns0:is>
          <ns0:t>To confirm</ns0:t>
        </ns0:is>
      </ns0:c>
      <ns0:c r="I8" s="15" t="inlineStr">
        <ns0:is>
          <ns0:t>Use disjoint tasks and timesheets; avoid overlap between reconciliation and follow-up work.</ns0:t>
        </ns0:is>
      </ns0:c>
    </ns0:row>
    <ns0:row r="9" ht="53.5" customHeight="1">
      <ns0:c r="A9" s="9" t="inlineStr">
        <ns0:is>
          <ns0:t>Inventory reconciliation</ns0:t>
        </ns0:is>
      </ns0:c>
      <ns0:c r="B9" s="19" t="n"/>
      <ns0:c r="C9" s="15" t="n">
        <ns0:v>1</ns0:v>
      </ns0:c>
      <ns0:c r="D9" s="15" t="n"/>
      <ns0:c r="E9" s="13" t="n"/>
      <ns0:c r="F9" s="23" t="str">
        <ns0:f>IF(H9="Not applicable",0,IF(AND(OR(H9="Estimated",H9="Confirmed"),COUNT(B9:D9)=3),B9*C9*D9,"Insufficient Data"))</ns0:f>
        <ns0:v>Insufficient Data</ns0:v>
      </ns0:c>
      <ns0:c r="G9" s="14" t="str">
        <ns0:f>IF(H9="Not applicable",0,IF(COUNT(E9:F9)=2,E9*F9,"Insufficient Data"))</ns0:f>
        <ns0:v>Insufficient Data</ns0:v>
      </ns0:c>
      <ns0:c r="H9" s="15" t="inlineStr">
        <ns0:is>
          <ns0:t>To confirm</ns0:t>
        </ns0:is>
      </ns0:c>
      <ns0:c r="I9" s="15" t="inlineStr">
        <ns0:is>
          <ns0:t>Use disjoint tasks and timesheets; avoid overlap between reconciliation and follow-up work.</ns0:t>
        </ns0:is>
      </ns0:c>
    </ns0:row>
    <ns0:row r="10" ht="53.5" customHeight="1">
      <ns0:c r="A10" s="9" t="inlineStr">
        <ns0:is>
          <ns0:t>Equipment accountability follow-ups</ns0:t>
        </ns0:is>
      </ns0:c>
      <ns0:c r="B10" s="19" t="n"/>
      <ns0:c r="C10" s="15" t="n">
        <ns0:v>1</ns0:v>
      </ns0:c>
      <ns0:c r="D10" s="15" t="n"/>
      <ns0:c r="E10" s="13" t="n"/>
      <ns0:c r="F10" s="23" t="str">
        <ns0:f>IF(H10="Not applicable",0,IF(AND(OR(H10="Estimated",H10="Confirmed"),COUNT(B10:D10)=3),B10*C10*D10,"Insufficient Data"))</ns0:f>
        <ns0:v>Insufficient Data</ns0:v>
      </ns0:c>
      <ns0:c r="G10" s="14" t="str">
        <ns0:f>IF(H10="Not applicable",0,IF(COUNT(E10:F10)=2,E10*F10,"Insufficient Data"))</ns0:f>
        <ns0:v>Insufficient Data</ns0:v>
      </ns0:c>
      <ns0:c r="H10" s="15" t="inlineStr">
        <ns0:is>
          <ns0:t>To confirm</ns0:t>
        </ns0:is>
      </ns0:c>
      <ns0:c r="I10" s="15" t="inlineStr">
        <ns0:is>
          <ns0:t>Use disjoint tasks and timesheets; avoid overlap between reconciliation and follow-up work.</ns0:t>
        </ns0:is>
      </ns0:c>
    </ns0:row>
    <ns0:row r="11" ht="19" customHeight="1"/>
    <ns0:row r="12" ht="28" customHeight="1">
      <ns0:c r="A12" s="20" t="inlineStr">
        <ns0:is>
          <ns0:t>Total annual person-hours</ns0:t>
        </ns0:is>
      </ns0:c>
      <ns0:c r="F12" s="24" t="str">
        <ns0:f>IF(COUNT(F7,F8,F9,F10)=4,SUM(F7,F8,F9,F10),"Insufficient Data")</ns0:f>
        <ns0:v>Insufficient Data</ns0:v>
      </ns0:c>
      <ns0:c r="G12" s="22" t="inlineStr"/>
    </ns0:row>
    <ns0:row r="13" ht="28" customHeight="1">
      <ns0:c r="A13" s="20" t="inlineStr">
        <ns0:is>
          <ns0:t>Total allocated annual labour</ns0:t>
        </ns0:is>
      </ns0:c>
      <ns0:c r="G13" s="21" t="str">
        <ns0:f>IF(COUNT(G7,G8,G9,G10)=4,SUM(G7,G8,G9,G10),"Insufficient Data")</ns0:f>
        <ns0:v>Insufficient Data</ns0:v>
      </ns0:c>
      <ns0:c r="H13" s="22" t="inlineStr"/>
    </ns0:row>
    <ns0:row r="14" ht="19" customHeight="1"/>
    <ns0:row r="15" ht="25.9" customHeight="1">
      <ns0:c r="A15" s="18" t="inlineStr">
        <ns0:is>
          <ns0:t>B. SUPPLIES AND OTHER CASH OPERATING COSTS</ns0:t>
        </ns0:is>
      </ns0:c>
    </ns0:row>
    <ns0:row r="16" ht="39" customHeight="1">
      <ns0:c r="A16" s="8" t="inlineStr">
        <ns0:is>
          <ns0:t>Expense</ns0:t>
        </ns0:is>
      </ns0:c>
      <ns0:c r="B16" s="8" t="inlineStr">
        <ns0:is>
          <ns0:t>Rate (₱ / unit)</ns0:t>
        </ns0:is>
      </ns0:c>
      <ns0:c r="C16" s="8" t="inlineStr">
        <ns0:is>
          <ns0:t>Quantity / event</ns0:t>
        </ns0:is>
      </ns0:c>
      <ns0:c r="D16" s="8" t="inlineStr">
        <ns0:is>
          <ns0:t>Events / year</ns0:t>
        </ns0:is>
      </ns0:c>
      <ns0:c r="E16" s="8" t="inlineStr">
        <ns0:is>
          <ns0:t>Annual cost (₱)</ns0:t>
        </ns0:is>
      </ns0:c>
      <ns0:c r="F16" s="8" t="inlineStr">
        <ns0:is>
          <ns0:t>Treatment</ns0:t>
        </ns0:is>
      </ns0:c>
      <ns0:c r="G16" s="8" t="inlineStr">
        <ns0:is>
          <ns0:t>Cost boundary</ns0:t>
        </ns0:is>
      </ns0:c>
      <ns0:c r="H16" s="8" t="inlineStr">
        <ns0:is>
          <ns0:t>Evidence / quote</ns0:t>
        </ns0:is>
      </ns0:c>
      <ns0:c r="I16" s="8" t="inlineStr">
        <ns0:is>
          <ns0:t>Notes</ns0:t>
        </ns0:is>
      </ns0:c>
    </ns0:row>
    <ns0:row r="17" ht="39" customHeight="1">
      <ns0:c r="A17" s="9" t="inlineStr">
        <ns0:is>
          <ns0:t>Paper</ns0:t>
        </ns0:is>
      </ns0:c>
      <ns0:c r="B17" s="13" t="n"/>
      <ns0:c r="C17" s="15" t="n"/>
      <ns0:c r="D17" s="15" t="n"/>
      <ns0:c r="E17" s="14" t="str">
        <ns0:f>IF(OR(F17="Bundled",F17="Not applicable"),0,IF(AND(OR(F17="Estimated",F17="Confirmed"),COUNT(B17:D17)=3),B17*C17*D17,"Insufficient Data"))</ns0:f>
        <ns0:v>Insufficient Data</ns0:v>
      </ns0:c>
      <ns0:c r="F17" s="15" t="inlineStr">
        <ns0:is>
          <ns0:t>To confirm</ns0:t>
        </ns0:is>
      </ns0:c>
      <ns0:c r="G17" s="9" t="inlineStr">
        <ns0:is>
          <ns0:t>Supplies only</ns0:t>
        </ns0:is>
      </ns0:c>
      <ns0:c r="H17" s="15" t="n"/>
      <ns0:c r="I17" s="15" t="inlineStr">
        <ns0:is>
          <ns0:t>Use incremental cash spending; avoid printing / toner overlap.</ns0:t>
        </ns0:is>
      </ns0:c>
    </ns0:row>
    <ns0:row r="18" ht="39" customHeight="1">
      <ns0:c r="A18" s="9" t="inlineStr">
        <ns0:is>
          <ns0:t>Printing / copy service (excludes ink)</ns0:t>
        </ns0:is>
      </ns0:c>
      <ns0:c r="B18" s="13" t="n"/>
      <ns0:c r="C18" s="15" t="n"/>
      <ns0:c r="D18" s="15" t="n"/>
      <ns0:c r="E18" s="14" t="str">
        <ns0:f>IF(OR(F18="Bundled",F18="Not applicable"),0,IF(AND(OR(F18="Estimated",F18="Confirmed"),COUNT(B18:D18)=3),B18*C18*D18,"Insufficient Data"))</ns0:f>
        <ns0:v>Insufficient Data</ns0:v>
      </ns0:c>
      <ns0:c r="F18" s="15" t="inlineStr">
        <ns0:is>
          <ns0:t>To confirm</ns0:t>
        </ns0:is>
      </ns0:c>
      <ns0:c r="G18" s="9" t="inlineStr">
        <ns0:is>
          <ns0:t>Supplies only</ns0:t>
        </ns0:is>
      </ns0:c>
      <ns0:c r="H18" s="15" t="n"/>
      <ns0:c r="I18" s="15" t="inlineStr">
        <ns0:is>
          <ns0:t>Use incremental cash spending; avoid printing / toner overlap.</ns0:t>
        </ns0:is>
      </ns0:c>
    </ns0:row>
    <ns0:row r="19" ht="39" customHeight="1">
      <ns0:c r="A19" s="9" t="inlineStr">
        <ns0:is>
          <ns0:t>Ink / toner (excludes copy-service charge)</ns0:t>
        </ns0:is>
      </ns0:c>
      <ns0:c r="B19" s="13" t="n"/>
      <ns0:c r="C19" s="15" t="n"/>
      <ns0:c r="D19" s="15" t="n"/>
      <ns0:c r="E19" s="14" t="str">
        <ns0:f>IF(OR(F19="Bundled",F19="Not applicable"),0,IF(AND(OR(F19="Estimated",F19="Confirmed"),COUNT(B19:D19)=3),B19*C19*D19,"Insufficient Data"))</ns0:f>
        <ns0:v>Insufficient Data</ns0:v>
      </ns0:c>
      <ns0:c r="F19" s="15" t="inlineStr">
        <ns0:is>
          <ns0:t>To confirm</ns0:t>
        </ns0:is>
      </ns0:c>
      <ns0:c r="G19" s="9" t="inlineStr">
        <ns0:is>
          <ns0:t>Supplies only</ns0:t>
        </ns0:is>
      </ns0:c>
      <ns0:c r="H19" s="15" t="n"/>
      <ns0:c r="I19" s="15" t="inlineStr">
        <ns0:is>
          <ns0:t>Use incremental cash spending; avoid printing / toner overlap.</ns0:t>
        </ns0:is>
      </ns0:c>
    </ns0:row>
    <ns0:row r="20" ht="39" customHeight="1">
      <ns0:c r="A20" s="9" t="inlineStr">
        <ns0:is>
          <ns0:t>Recordkeeping materials</ns0:t>
        </ns0:is>
      </ns0:c>
      <ns0:c r="B20" s="13" t="n"/>
      <ns0:c r="C20" s="15" t="n"/>
      <ns0:c r="D20" s="15" t="n"/>
      <ns0:c r="E20" s="14" t="str">
        <ns0:f>IF(OR(F20="Bundled",F20="Not applicable"),0,IF(AND(OR(F20="Estimated",F20="Confirmed"),COUNT(B20:D20)=3),B20*C20*D20,"Insufficient Data"))</ns0:f>
        <ns0:v>Insufficient Data</ns0:v>
      </ns0:c>
      <ns0:c r="F20" s="15" t="inlineStr">
        <ns0:is>
          <ns0:t>To confirm</ns0:t>
        </ns0:is>
      </ns0:c>
      <ns0:c r="G20" s="9" t="inlineStr">
        <ns0:is>
          <ns0:t>Supplies only</ns0:t>
        </ns0:is>
      </ns0:c>
      <ns0:c r="H20" s="15" t="n"/>
      <ns0:c r="I20" s="15" t="inlineStr">
        <ns0:is>
          <ns0:t>Use incremental cash spending; avoid printing / toner overlap.</ns0:t>
        </ns0:is>
      </ns0:c>
    </ns0:row>
    <ns0:row r="21" ht="39" customHeight="1">
      <ns0:c r="A21" s="9" t="inlineStr">
        <ns0:is>
          <ns0:t>Other office supplies</ns0:t>
        </ns0:is>
      </ns0:c>
      <ns0:c r="B21" s="13" t="n"/>
      <ns0:c r="C21" s="15" t="n"/>
      <ns0:c r="D21" s="15" t="n"/>
      <ns0:c r="E21" s="14" t="str">
        <ns0:f>IF(OR(F21="Bundled",F21="Not applicable"),0,IF(AND(OR(F21="Estimated",F21="Confirmed"),COUNT(B21:D21)=3),B21*C21*D21,"Insufficient Data"))</ns0:f>
        <ns0:v>Insufficient Data</ns0:v>
      </ns0:c>
      <ns0:c r="F21" s="15" t="inlineStr">
        <ns0:is>
          <ns0:t>To confirm</ns0:t>
        </ns0:is>
      </ns0:c>
      <ns0:c r="G21" s="9" t="inlineStr">
        <ns0:is>
          <ns0:t>Supplies only</ns0:t>
        </ns0:is>
      </ns0:c>
      <ns0:c r="H21" s="15" t="n"/>
      <ns0:c r="I21" s="15" t="inlineStr">
        <ns0:is>
          <ns0:t>Use incremental cash spending; avoid printing / toner overlap.</ns0:t>
        </ns0:is>
      </ns0:c>
    </ns0:row>
    <ns0:row r="22" ht="53.5" customHeight="1">
      <ns0:c r="A22" s="9" t="inlineStr">
        <ns0:is>
          <ns0:t>Manual record storage</ns0:t>
        </ns0:is>
      </ns0:c>
      <ns0:c r="B22" s="13" t="n"/>
      <ns0:c r="C22" s="15" t="n"/>
      <ns0:c r="D22" s="15" t="n"/>
      <ns0:c r="E22" s="14" t="str">
        <ns0:f>IF(OR(F22="Bundled",F22="Not applicable"),0,IF(AND(OR(F22="Estimated",F22="Confirmed"),COUNT(B22:D22)=3),B22*C22*D22,"Insufficient Data"))</ns0:f>
        <ns0:v>Insufficient Data</ns0:v>
      </ns0:c>
      <ns0:c r="F22" s="15" t="inlineStr">
        <ns0:is>
          <ns0:t>To confirm</ns0:t>
        </ns0:is>
      </ns0:c>
      <ns0:c r="G22" s="9" t="inlineStr">
        <ns0:is>
          <ns0:t>Direct administration expense</ns0:t>
        </ns0:is>
      </ns0:c>
      <ns0:c r="H22" s="15" t="n"/>
      <ns0:c r="I22" s="15" t="inlineStr">
        <ns0:is>
          <ns0:t>Use incremental cash spending; avoid printing / toner overlap.</ns0:t>
        </ns0:is>
      </ns0:c>
    </ns0:row>
    <ns0:row r="23" ht="53.5" customHeight="1">
      <ns0:c r="A23" s="9" t="inlineStr">
        <ns0:is>
          <ns0:t>Reporting / communication</ns0:t>
        </ns0:is>
      </ns0:c>
      <ns0:c r="B23" s="13" t="n"/>
      <ns0:c r="C23" s="15" t="n"/>
      <ns0:c r="D23" s="15" t="n"/>
      <ns0:c r="E23" s="14" t="str">
        <ns0:f>IF(OR(F23="Bundled",F23="Not applicable"),0,IF(AND(OR(F23="Estimated",F23="Confirmed"),COUNT(B23:D23)=3),B23*C23*D23,"Insufficient Data"))</ns0:f>
        <ns0:v>Insufficient Data</ns0:v>
      </ns0:c>
      <ns0:c r="F23" s="15" t="inlineStr">
        <ns0:is>
          <ns0:t>To confirm</ns0:t>
        </ns0:is>
      </ns0:c>
      <ns0:c r="G23" s="9" t="inlineStr">
        <ns0:is>
          <ns0:t>Direct administration expense</ns0:t>
        </ns0:is>
      </ns0:c>
      <ns0:c r="H23" s="15" t="n"/>
      <ns0:c r="I23" s="15" t="inlineStr">
        <ns0:is>
          <ns0:t>Use incremental cash spending; avoid printing / toner overlap.</ns0:t>
        </ns0:is>
      </ns0:c>
    </ns0:row>
    <ns0:row r="24" ht="53.5" customHeight="1">
      <ns0:c r="A24" s="9" t="inlineStr">
        <ns0:is>
          <ns0:t>Other attributable admin cash costs</ns0:t>
        </ns0:is>
      </ns0:c>
      <ns0:c r="B24" s="13" t="n"/>
      <ns0:c r="C24" s="15" t="n"/>
      <ns0:c r="D24" s="15" t="n"/>
      <ns0:c r="E24" s="14" t="str">
        <ns0:f>IF(OR(F24="Bundled",F24="Not applicable"),0,IF(AND(OR(F24="Estimated",F24="Confirmed"),COUNT(B24:D24)=3),B24*C24*D24,"Insufficient Data"))</ns0:f>
        <ns0:v>Insufficient Data</ns0:v>
      </ns0:c>
      <ns0:c r="F24" s="15" t="inlineStr">
        <ns0:is>
          <ns0:t>To confirm</ns0:t>
        </ns0:is>
      </ns0:c>
      <ns0:c r="G24" s="9" t="inlineStr">
        <ns0:is>
          <ns0:t>Direct administration expense</ns0:t>
        </ns0:is>
      </ns0:c>
      <ns0:c r="H24" s="15" t="n"/>
      <ns0:c r="I24" s="15" t="inlineStr">
        <ns0:is>
          <ns0:t>Use incremental cash spending; avoid printing / toner overlap.</ns0:t>
        </ns0:is>
      </ns0:c>
    </ns0:row>
    <ns0:row r="25" ht="19" customHeight="1"/>
    <ns0:row r="26" ht="41.9" customHeight="1">
      <ns0:c r="A26" s="20" t="inlineStr">
        <ns0:is>
          <ns0:t>Total annual supplies</ns0:t>
        </ns0:is>
      </ns0:c>
      <ns0:c r="E26" s="21" t="str">
        <ns0:f>IF(COUNT(E17,E18,E19,E20,E21)=5,SUM(E17,E18,E19,E20,E21),"Insufficient Data")</ns0:f>
        <ns0:v>Insufficient Data</ns0:v>
      </ns0:c>
      <ns0:c r="F26" s="22" t="inlineStr"/>
    </ns0:row>
    <ns0:row r="27" ht="41.9" customHeight="1">
      <ns0:c r="A27" s="20" t="inlineStr">
        <ns0:is>
          <ns0:t>Other annual admin cash costs</ns0:t>
        </ns0:is>
      </ns0:c>
      <ns0:c r="E27" s="21" t="str">
        <ns0:f>IF(COUNT(E22,E23,E24)=3,SUM(E22,E23,E24),"Insufficient Data")</ns0:f>
        <ns0:v>Insufficient Data</ns0:v>
      </ns0:c>
      <ns0:c r="F27" s="22" t="inlineStr"/>
    </ns0:row>
    <ns0:row r="28" ht="41.9" customHeight="1">
      <ns0:c r="A28" s="20" t="inlineStr">
        <ns0:is>
          <ns0:t>Annual admin cash cost</ns0:t>
        </ns0:is>
      </ns0:c>
      <ns0:c r="E28" s="21" t="str">
        <ns0:f>IF(COUNT(E26,E27)=2,SUM(E26,E27),"Insufficient Data")</ns0:f>
        <ns0:v>Insufficient Data</ns0:v>
      </ns0:c>
      <ns0:c r="F28" s="22" t="inlineStr"/>
    </ns0:row>
    <ns0:row r="29" ht="19" customHeight="1"/>
    <ns0:row r="30" ht="25.9" customHeight="1">
      <ns0:c r="A30" s="18" t="inlineStr">
        <ns0:is>
          <ns0:t>C. COST VIEW AND FINANCIAL BOUNDARY</ns0:t>
        </ns0:is>
      </ns0:c>
    </ns0:row>
    <ns0:row r="31" ht="41.9" customHeight="1">
      <ns0:c r="A31" s="20" t="inlineStr">
        <ns0:is>
          <ns0:t>Admin cash + allocated labour</ns0:t>
        </ns0:is>
      </ns0:c>
      <ns0:c r="E31" s="21" t="str">
        <ns0:f>IF(COUNT(E28,G13)=2,SUM(E28,G13),"Insufficient Data")</ns0:f>
        <ns0:v>Insufficient Data</ns0:v>
      </ns0:c>
      <ns0:c r="F31" s="22" t="inlineStr"/>
    </ns0:row>
    <ns0:row r="32" ht="19" customHeight="1"/>
    <ns0:row r="33" ht="39" customHeight="1">
      <ns0:c r="A33" s="9" t="inlineStr">
        <ns0:is>
          <ns0:t>Historical confirmed loss / replacement cost</ns0:t>
        </ns0:is>
      </ns0:c>
      <ns0:c r="E33" s="13" t="n"/>
      <ns0:c r="F33" s="25" t="inlineStr">
        <ns0:is>
          <ns0:t>Not supplied. Informational only; no loss savings inferred.</ns0:t>
        </ns0:is>
      </ns0:c>
    </ns0:row>
    <ns0:row r="34" ht="19" customHeight="1"/>
    <ns0:row r="35" ht="39" customHeight="1">
      <ns0:c r="A35" s="6" t="inlineStr">
        <ns0:is>
          <ns0:t>No company salaries, historical loss records, paperwork budgets or timing studies were supplied. The worksheet image supports quantities, not a measured labour workflow. Weekly report frequency of 52 follows R12 as a planning convention.</ns0:t>
        </ns0:is>
      </ns0:c>
    </ns0:row>
    <ns0:row r="36" ht="19" customHeight="1"/>
    <ns0:row r="37" ht="19" customHeight="1"/>
    <ns0:row r="38" ht="39" customHeight="1">
      <ns0:c r="A38" s="6" t="inlineStr">
        <ns0:is>
          <ns0:t>Treatments: Estimated / Confirmed need numeric inputs; Bundled / Not applicable equal an explicit zero; To confirm remains Insufficient Data. Record the supporting basis. Enter zero only after confirming it.</ns0:t>
        </ns0:is>
      </ns0:c>
    </ns0:row>
  </ns0:sheetData>
  <ns0:mergeCells count="21">
    <ns0:mergeCell ref="F31:I31"/>
    <ns0:mergeCell ref="F27:I27"/>
    <ns0:mergeCell ref="A3:I3"/>
    <ns0:mergeCell ref="A28:D28"/>
    <ns0:mergeCell ref="A2:I2"/>
    <ns0:mergeCell ref="A31:D31"/>
    <ns0:mergeCell ref="A5:I5"/>
    <ns0:mergeCell ref="A35:I35"/>
    <ns0:mergeCell ref="A38:I38"/>
    <ns0:mergeCell ref="A12:E12"/>
    <ns0:mergeCell ref="A13:F13"/>
    <ns0:mergeCell ref="G12:I12"/>
    <ns0:mergeCell ref="H13:I13"/>
    <ns0:mergeCell ref="F33:I33"/>
    <ns0:mergeCell ref="A30:I30"/>
    <ns0:mergeCell ref="A15:I15"/>
    <ns0:mergeCell ref="F26:I26"/>
    <ns0:mergeCell ref="A27:D27"/>
    <ns0:mergeCell ref="A26:D26"/>
    <ns0:mergeCell ref="A1:I1"/>
    <ns0:mergeCell ref="F28:I28"/>
  </ns0:mergeCells>
  <ns0:dataValidations count="4">
    <ns0:dataValidation sqref="H7:H10" showDropDown="0" showInputMessage="0" showErrorMessage="1" allowBlank="0" errorTitle="Choose a listed treatment" error="Use a value from the list." type="list" errorStyle="stop">
      <ns0:formula1>"To confirm,Estimated,Confirmed,Not applicable"</ns0:formula1>
    </ns0:dataValidation>
    <ns0:dataValidation sqref="F17:F24" showDropDown="0" showInputMessage="0" showErrorMessage="1" allowBlank="0" errorTitle="Choose a listed treatment" error="Use a value from the list." type="list" errorStyle="stop">
      <ns0:formula1>"To confirm,Estimated,Confirmed,Bundled,Not applicable"</ns0:formula1>
    </ns0:dataValidation>
    <ns0:dataValidation sqref="B7:E10" showDropDown="0" showInputMessage="0" showErrorMessage="1" allowBlank="1" error="Enter a non-negative number." type="decimal" errorStyle="stop" operator="between">
      <ns0:formula1>0</ns0:formula1>
      <ns0:formula2>1000000000</ns0:formula2>
    </ns0:dataValidation>
    <ns0:dataValidation sqref="B17:D24"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2" manualBreakCount="2">
    <ns0:brk id="14" min="0" max="16383" man="1"/>
    <ns0:brk id="29" min="0" max="16383" man="1"/>
  </ns0:rowBreaks>
  <ns0:legacyDrawing ns1:id="anysvml"/>
</ns0:worksheet>
</file>

<file path=xl/worksheets/sheet5.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I38"/>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2" customWidth="1" min="1" max="1"/>
    <ns0:col width="13" customWidth="1" min="2" max="2"/>
    <ns0:col width="9" customWidth="1" min="3" max="3"/>
    <ns0:col width="12" customWidth="1" min="4" max="4"/>
    <ns0:col width="15" customWidth="1" min="5" max="5"/>
    <ns0:col width="16" customWidth="1" min="6" max="6"/>
    <ns0:col width="18" customWidth="1" min="7" max="7"/>
    <ns0:col width="16" customWidth="1" min="8" max="8"/>
    <ns0:col width="40" customWidth="1" min="9" max="9"/>
  </ns0:cols>
  <ns0:sheetData>
    <ns0:row r="1" ht="34.6" customHeight="1">
      <ns0:c r="A1" s="1" t="inlineStr">
        <ns0:is>
          <ns0:t>PROPOSED SYSTEM OPERATING COSTS</ns0:t>
        </ns0:is>
      </ns0:c>
    </ns0:row>
    <ns0:row r="2" ht="32" customHeight="1">
      <ns0:c r="A2" s="3" t="inlineStr">
        <ns0:is>
          <ns0:t>Labour is an allocated productivity cost. It is not a payroll saving. Activity timing, staffing and wages have not been measured.</ns0:t>
        </ns0:is>
      </ns0:c>
    </ns0:row>
    <ns0:row r="3" ht="23" customHeight="1">
      <ns0:c r="A3" s="4" t="inlineStr">
        <ns0:is>
          <ns0:t>Blue cells: editable inputs | Gray: supplied data / fixed scope | Green text: formulas | Blank: unknown, never a verified zero</ns0:t>
        </ns0:is>
      </ns0:c>
    </ns0:row>
    <ns0:row r="4" ht="19" customHeight="1"/>
    <ns0:row r="5" ht="25.9" customHeight="1">
      <ns0:c r="A5" s="18" t="inlineStr">
        <ns0:is>
          <ns0:t>A. ACTIVITY LABOUR / CAPACITY</ns0:t>
        </ns0:is>
      </ns0:c>
    </ns0:row>
    <ns0:row r="6" ht="53.5" customHeight="1">
      <ns0:c r="A6" s="8" t="inlineStr">
        <ns0:is>
          <ns0:t>Activity</ns0:t>
        </ns0:is>
      </ns0:c>
      <ns0:c r="B6" s="8" t="inlineStr">
        <ns0:is>
          <ns0:t>Hours / person / event</ns0:t>
        </ns0:is>
      </ns0:c>
      <ns0:c r="C6" s="8" t="inlineStr">
        <ns0:is>
          <ns0:t>Staff</ns0:t>
        </ns0:is>
      </ns0:c>
      <ns0:c r="D6" s="8" t="inlineStr">
        <ns0:is>
          <ns0:t>Events / year</ns0:t>
        </ns0:is>
      </ns0:c>
      <ns0:c r="E6" s="8" t="inlineStr">
        <ns0:is>
          <ns0:t>Hourly rate (₱)</ns0:t>
        </ns0:is>
      </ns0:c>
      <ns0:c r="F6" s="8" t="inlineStr">
        <ns0:is>
          <ns0:t>Annual person-hours</ns0:t>
        </ns0:is>
      </ns0:c>
      <ns0:c r="G6" s="8" t="inlineStr">
        <ns0:is>
          <ns0:t>Allocated labour (₱)</ns0:t>
        </ns0:is>
      </ns0:c>
      <ns0:c r="H6" s="8" t="inlineStr">
        <ns0:is>
          <ns0:t>Treatment</ns0:t>
        </ns0:is>
      </ns0:c>
      <ns0:c r="I6" s="8" t="inlineStr">
        <ns0:is>
          <ns0:t>Measurement basis</ns0:t>
        </ns0:is>
      </ns0:c>
    </ns0:row>
    <ns0:row r="7" ht="53.5" customHeight="1">
      <ns0:c r="A7" s="9" t="inlineStr">
        <ns0:is>
          <ns0:t>Inventory monitoring / updates</ns0:t>
        </ns0:is>
      </ns0:c>
      <ns0:c r="B7" s="19" t="n"/>
      <ns0:c r="C7" s="15" t="n">
        <ns0:v>1</ns0:v>
      </ns0:c>
      <ns0:c r="D7" s="12" t="str">
        <ns0:f>IF(ISNUMBER('Existing System Operating Costs'!D7),'Existing System Operating Costs'!D7,"")</ns0:f>
        <ns0:v/>
      </ns0:c>
      <ns0:c r="E7" s="14" t="str">
        <ns0:f>IF(ISNUMBER('Existing System Operating Costs'!E7),'Existing System Operating Costs'!E7,"")</ns0:f>
        <ns0:v/>
      </ns0:c>
      <ns0:c r="F7" s="23" t="str">
        <ns0:f>IF(H7="Not applicable",0,IF(AND(OR(H7="Estimated",H7="Confirmed"),COUNT(B7:D7)=3),B7*C7*D7,"Insufficient Data"))</ns0:f>
        <ns0:v>Insufficient Data</ns0:v>
      </ns0:c>
      <ns0:c r="G7" s="14" t="str">
        <ns0:f>IF(H7="Not applicable",0,IF(COUNT(E7:F7)=2,E7*F7,"Insufficient Data"))</ns0:f>
        <ns0:v>Insufficient Data</ns0:v>
      </ns0:c>
      <ns0:c r="H7" s="15" t="inlineStr">
        <ns0:is>
          <ns0:t>To confirm</ns0:t>
        </ns0:is>
      </ns0:c>
      <ns0:c r="I7" s="15" t="inlineStr">
        <ns0:is>
          <ns0:t>Include data entry, inspections and any residual manual checks. Same annual workload and wage basis as baseline.</ns0:t>
        </ns0:is>
      </ns0:c>
    </ns0:row>
    <ns0:row r="8" ht="53.5" customHeight="1">
      <ns0:c r="A8" s="9" t="inlineStr">
        <ns0:is>
          <ns0:t>Manual report preparation</ns0:t>
        </ns0:is>
      </ns0:c>
      <ns0:c r="B8" s="19" t="n"/>
      <ns0:c r="C8" s="15" t="n">
        <ns0:v>1</ns0:v>
      </ns0:c>
      <ns0:c r="D8" s="12">
        <ns0:f>IF(ISNUMBER('Existing System Operating Costs'!D8),'Existing System Operating Costs'!D8,"")</ns0:f>
        <ns0:v>52</ns0:v>
      </ns0:c>
      <ns0:c r="E8" s="14" t="str">
        <ns0:f>IF(ISNUMBER('Existing System Operating Costs'!E8),'Existing System Operating Costs'!E8,"")</ns0:f>
        <ns0:v/>
      </ns0:c>
      <ns0:c r="F8" s="23" t="str">
        <ns0:f>IF(H8="Not applicable",0,IF(AND(OR(H8="Estimated",H8="Confirmed"),COUNT(B8:D8)=3),B8*C8*D8,"Insufficient Data"))</ns0:f>
        <ns0:v>Insufficient Data</ns0:v>
      </ns0:c>
      <ns0:c r="G8" s="14" t="str">
        <ns0:f>IF(H8="Not applicable",0,IF(COUNT(E8:F8)=2,E8*F8,"Insufficient Data"))</ns0:f>
        <ns0:v>Insufficient Data</ns0:v>
      </ns0:c>
      <ns0:c r="H8" s="15" t="inlineStr">
        <ns0:is>
          <ns0:t>To confirm</ns0:t>
        </ns0:is>
      </ns0:c>
      <ns0:c r="I8" s="15" t="inlineStr">
        <ns0:is>
          <ns0:t>Include data entry, inspections and any residual manual checks. Same annual workload and wage basis as baseline.</ns0:t>
        </ns0:is>
      </ns0:c>
    </ns0:row>
    <ns0:row r="9" ht="53.5" customHeight="1">
      <ns0:c r="A9" s="9" t="inlineStr">
        <ns0:is>
          <ns0:t>Inventory reconciliation</ns0:t>
        </ns0:is>
      </ns0:c>
      <ns0:c r="B9" s="19" t="n"/>
      <ns0:c r="C9" s="15" t="n">
        <ns0:v>1</ns0:v>
      </ns0:c>
      <ns0:c r="D9" s="12" t="str">
        <ns0:f>IF(ISNUMBER('Existing System Operating Costs'!D9),'Existing System Operating Costs'!D9,"")</ns0:f>
        <ns0:v/>
      </ns0:c>
      <ns0:c r="E9" s="14" t="str">
        <ns0:f>IF(ISNUMBER('Existing System Operating Costs'!E9),'Existing System Operating Costs'!E9,"")</ns0:f>
        <ns0:v/>
      </ns0:c>
      <ns0:c r="F9" s="23" t="str">
        <ns0:f>IF(H9="Not applicable",0,IF(AND(OR(H9="Estimated",H9="Confirmed"),COUNT(B9:D9)=3),B9*C9*D9,"Insufficient Data"))</ns0:f>
        <ns0:v>Insufficient Data</ns0:v>
      </ns0:c>
      <ns0:c r="G9" s="14" t="str">
        <ns0:f>IF(H9="Not applicable",0,IF(COUNT(E9:F9)=2,E9*F9,"Insufficient Data"))</ns0:f>
        <ns0:v>Insufficient Data</ns0:v>
      </ns0:c>
      <ns0:c r="H9" s="15" t="inlineStr">
        <ns0:is>
          <ns0:t>To confirm</ns0:t>
        </ns0:is>
      </ns0:c>
      <ns0:c r="I9" s="15" t="inlineStr">
        <ns0:is>
          <ns0:t>Include data entry, inspections and any residual manual checks. Same annual workload and wage basis as baseline.</ns0:t>
        </ns0:is>
      </ns0:c>
    </ns0:row>
    <ns0:row r="10" ht="53.5" customHeight="1">
      <ns0:c r="A10" s="9" t="inlineStr">
        <ns0:is>
          <ns0:t>Equipment accountability follow-ups</ns0:t>
        </ns0:is>
      </ns0:c>
      <ns0:c r="B10" s="19" t="n"/>
      <ns0:c r="C10" s="15" t="n">
        <ns0:v>1</ns0:v>
      </ns0:c>
      <ns0:c r="D10" s="12" t="str">
        <ns0:f>IF(ISNUMBER('Existing System Operating Costs'!D10),'Existing System Operating Costs'!D10,"")</ns0:f>
        <ns0:v/>
      </ns0:c>
      <ns0:c r="E10" s="14" t="str">
        <ns0:f>IF(ISNUMBER('Existing System Operating Costs'!E10),'Existing System Operating Costs'!E10,"")</ns0:f>
        <ns0:v/>
      </ns0:c>
      <ns0:c r="F10" s="23" t="str">
        <ns0:f>IF(H10="Not applicable",0,IF(AND(OR(H10="Estimated",H10="Confirmed"),COUNT(B10:D10)=3),B10*C10*D10,"Insufficient Data"))</ns0:f>
        <ns0:v>Insufficient Data</ns0:v>
      </ns0:c>
      <ns0:c r="G10" s="14" t="str">
        <ns0:f>IF(H10="Not applicable",0,IF(COUNT(E10:F10)=2,E10*F10,"Insufficient Data"))</ns0:f>
        <ns0:v>Insufficient Data</ns0:v>
      </ns0:c>
      <ns0:c r="H10" s="15" t="inlineStr">
        <ns0:is>
          <ns0:t>To confirm</ns0:t>
        </ns0:is>
      </ns0:c>
      <ns0:c r="I10" s="15" t="inlineStr">
        <ns0:is>
          <ns0:t>Include data entry, inspections and any residual manual checks. Same annual workload and wage basis as baseline.</ns0:t>
        </ns0:is>
      </ns0:c>
    </ns0:row>
    <ns0:row r="11" ht="19" customHeight="1"/>
    <ns0:row r="12" ht="28" customHeight="1">
      <ns0:c r="A12" s="20" t="inlineStr">
        <ns0:is>
          <ns0:t>Total annual person-hours</ns0:t>
        </ns0:is>
      </ns0:c>
      <ns0:c r="F12" s="24" t="str">
        <ns0:f>IF(COUNT(F7,F8,F9,F10)=4,SUM(F7,F8,F9,F10),"Insufficient Data")</ns0:f>
        <ns0:v>Insufficient Data</ns0:v>
      </ns0:c>
      <ns0:c r="G12" s="22" t="inlineStr"/>
    </ns0:row>
    <ns0:row r="13" ht="28" customHeight="1">
      <ns0:c r="A13" s="20" t="inlineStr">
        <ns0:is>
          <ns0:t>Total allocated annual labour</ns0:t>
        </ns0:is>
      </ns0:c>
      <ns0:c r="G13" s="21" t="str">
        <ns0:f>IF(COUNT(G7,G8,G9,G10)=4,SUM(G7,G8,G9,G10),"Insufficient Data")</ns0:f>
        <ns0:v>Insufficient Data</ns0:v>
      </ns0:c>
      <ns0:c r="H13" s="22" t="inlineStr"/>
    </ns0:row>
    <ns0:row r="14" ht="19" customHeight="1"/>
    <ns0:row r="15" ht="25.9" customHeight="1">
      <ns0:c r="A15" s="18" t="inlineStr">
        <ns0:is>
          <ns0:t>B. SUPPLIES AND OTHER CASH OPERATING COSTS</ns0:t>
        </ns0:is>
      </ns0:c>
    </ns0:row>
    <ns0:row r="16" ht="39" customHeight="1">
      <ns0:c r="A16" s="8" t="inlineStr">
        <ns0:is>
          <ns0:t>Expense</ns0:t>
        </ns0:is>
      </ns0:c>
      <ns0:c r="B16" s="8" t="inlineStr">
        <ns0:is>
          <ns0:t>Rate (₱ / unit)</ns0:t>
        </ns0:is>
      </ns0:c>
      <ns0:c r="C16" s="8" t="inlineStr">
        <ns0:is>
          <ns0:t>Quantity / event</ns0:t>
        </ns0:is>
      </ns0:c>
      <ns0:c r="D16" s="8" t="inlineStr">
        <ns0:is>
          <ns0:t>Events / year</ns0:t>
        </ns0:is>
      </ns0:c>
      <ns0:c r="E16" s="8" t="inlineStr">
        <ns0:is>
          <ns0:t>Annual cost (₱)</ns0:t>
        </ns0:is>
      </ns0:c>
      <ns0:c r="F16" s="8" t="inlineStr">
        <ns0:is>
          <ns0:t>Treatment</ns0:t>
        </ns0:is>
      </ns0:c>
      <ns0:c r="G16" s="8" t="inlineStr">
        <ns0:is>
          <ns0:t>Cost boundary</ns0:t>
        </ns0:is>
      </ns0:c>
      <ns0:c r="H16" s="8" t="inlineStr">
        <ns0:is>
          <ns0:t>Evidence / quote</ns0:t>
        </ns0:is>
      </ns0:c>
      <ns0:c r="I16" s="8" t="inlineStr">
        <ns0:is>
          <ns0:t>Notes</ns0:t>
        </ns0:is>
      </ns0:c>
    </ns0:row>
    <ns0:row r="17" ht="39" customHeight="1">
      <ns0:c r="A17" s="9" t="inlineStr">
        <ns0:is>
          <ns0:t>Paper</ns0:t>
        </ns0:is>
      </ns0:c>
      <ns0:c r="B17" s="13" t="n"/>
      <ns0:c r="C17" s="15" t="n"/>
      <ns0:c r="D17" s="15" t="n"/>
      <ns0:c r="E17" s="14" t="str">
        <ns0:f>IF(OR(F17="Bundled",F17="Not applicable"),0,IF(AND(OR(F17="Estimated",F17="Confirmed"),COUNT(B17:D17)=3),B17*C17*D17,"Insufficient Data"))</ns0:f>
        <ns0:v>Insufficient Data</ns0:v>
      </ns0:c>
      <ns0:c r="F17" s="15" t="inlineStr">
        <ns0:is>
          <ns0:t>To confirm</ns0:t>
        </ns0:is>
      </ns0:c>
      <ns0:c r="G17" s="9" t="inlineStr">
        <ns0:is>
          <ns0:t>Supplies only</ns0:t>
        </ns0:is>
      </ns0:c>
      <ns0:c r="H17" s="15" t="n"/>
      <ns0:c r="I17" s="15" t="inlineStr">
        <ns0:is>
          <ns0:t>Use incremental cash spending; avoid printing / toner overlap.</ns0:t>
        </ns0:is>
      </ns0:c>
    </ns0:row>
    <ns0:row r="18" ht="39" customHeight="1">
      <ns0:c r="A18" s="9" t="inlineStr">
        <ns0:is>
          <ns0:t>Printing / copy service (excludes ink)</ns0:t>
        </ns0:is>
      </ns0:c>
      <ns0:c r="B18" s="13" t="n"/>
      <ns0:c r="C18" s="15" t="n"/>
      <ns0:c r="D18" s="15" t="n"/>
      <ns0:c r="E18" s="14" t="str">
        <ns0:f>IF(OR(F18="Bundled",F18="Not applicable"),0,IF(AND(OR(F18="Estimated",F18="Confirmed"),COUNT(B18:D18)=3),B18*C18*D18,"Insufficient Data"))</ns0:f>
        <ns0:v>Insufficient Data</ns0:v>
      </ns0:c>
      <ns0:c r="F18" s="15" t="inlineStr">
        <ns0:is>
          <ns0:t>To confirm</ns0:t>
        </ns0:is>
      </ns0:c>
      <ns0:c r="G18" s="9" t="inlineStr">
        <ns0:is>
          <ns0:t>Supplies only</ns0:t>
        </ns0:is>
      </ns0:c>
      <ns0:c r="H18" s="15" t="n"/>
      <ns0:c r="I18" s="15" t="inlineStr">
        <ns0:is>
          <ns0:t>Use incremental cash spending; avoid printing / toner overlap.</ns0:t>
        </ns0:is>
      </ns0:c>
    </ns0:row>
    <ns0:row r="19" ht="39" customHeight="1">
      <ns0:c r="A19" s="9" t="inlineStr">
        <ns0:is>
          <ns0:t>Ink / toner (excludes copy-service charge)</ns0:t>
        </ns0:is>
      </ns0:c>
      <ns0:c r="B19" s="13" t="n"/>
      <ns0:c r="C19" s="15" t="n"/>
      <ns0:c r="D19" s="15" t="n"/>
      <ns0:c r="E19" s="14" t="str">
        <ns0:f>IF(OR(F19="Bundled",F19="Not applicable"),0,IF(AND(OR(F19="Estimated",F19="Confirmed"),COUNT(B19:D19)=3),B19*C19*D19,"Insufficient Data"))</ns0:f>
        <ns0:v>Insufficient Data</ns0:v>
      </ns0:c>
      <ns0:c r="F19" s="15" t="inlineStr">
        <ns0:is>
          <ns0:t>To confirm</ns0:t>
        </ns0:is>
      </ns0:c>
      <ns0:c r="G19" s="9" t="inlineStr">
        <ns0:is>
          <ns0:t>Supplies only</ns0:t>
        </ns0:is>
      </ns0:c>
      <ns0:c r="H19" s="15" t="n"/>
      <ns0:c r="I19" s="15" t="inlineStr">
        <ns0:is>
          <ns0:t>Use incremental cash spending; avoid printing / toner overlap.</ns0:t>
        </ns0:is>
      </ns0:c>
    </ns0:row>
    <ns0:row r="20" ht="39" customHeight="1">
      <ns0:c r="A20" s="9" t="inlineStr">
        <ns0:is>
          <ns0:t>Recordkeeping materials</ns0:t>
        </ns0:is>
      </ns0:c>
      <ns0:c r="B20" s="13" t="n"/>
      <ns0:c r="C20" s="15" t="n"/>
      <ns0:c r="D20" s="15" t="n"/>
      <ns0:c r="E20" s="14" t="str">
        <ns0:f>IF(OR(F20="Bundled",F20="Not applicable"),0,IF(AND(OR(F20="Estimated",F20="Confirmed"),COUNT(B20:D20)=3),B20*C20*D20,"Insufficient Data"))</ns0:f>
        <ns0:v>Insufficient Data</ns0:v>
      </ns0:c>
      <ns0:c r="F20" s="15" t="inlineStr">
        <ns0:is>
          <ns0:t>To confirm</ns0:t>
        </ns0:is>
      </ns0:c>
      <ns0:c r="G20" s="9" t="inlineStr">
        <ns0:is>
          <ns0:t>Supplies only</ns0:t>
        </ns0:is>
      </ns0:c>
      <ns0:c r="H20" s="15" t="n"/>
      <ns0:c r="I20" s="15" t="inlineStr">
        <ns0:is>
          <ns0:t>Use incremental cash spending; avoid printing / toner overlap.</ns0:t>
        </ns0:is>
      </ns0:c>
    </ns0:row>
    <ns0:row r="21" ht="39" customHeight="1">
      <ns0:c r="A21" s="9" t="inlineStr">
        <ns0:is>
          <ns0:t>Other office supplies</ns0:t>
        </ns0:is>
      </ns0:c>
      <ns0:c r="B21" s="13" t="n"/>
      <ns0:c r="C21" s="15" t="n"/>
      <ns0:c r="D21" s="15" t="n"/>
      <ns0:c r="E21" s="14" t="str">
        <ns0:f>IF(OR(F21="Bundled",F21="Not applicable"),0,IF(AND(OR(F21="Estimated",F21="Confirmed"),COUNT(B21:D21)=3),B21*C21*D21,"Insufficient Data"))</ns0:f>
        <ns0:v>Insufficient Data</ns0:v>
      </ns0:c>
      <ns0:c r="F21" s="15" t="inlineStr">
        <ns0:is>
          <ns0:t>To confirm</ns0:t>
        </ns0:is>
      </ns0:c>
      <ns0:c r="G21" s="9" t="inlineStr">
        <ns0:is>
          <ns0:t>Supplies only</ns0:t>
        </ns0:is>
      </ns0:c>
      <ns0:c r="H21" s="15" t="n"/>
      <ns0:c r="I21" s="15" t="inlineStr">
        <ns0:is>
          <ns0:t>Use incremental cash spending; avoid printing / toner overlap.</ns0:t>
        </ns0:is>
      </ns0:c>
    </ns0:row>
    <ns0:row r="22" ht="53.5" customHeight="1">
      <ns0:c r="A22" s="9" t="inlineStr">
        <ns0:is>
          <ns0:t>Manual record storage</ns0:t>
        </ns0:is>
      </ns0:c>
      <ns0:c r="B22" s="13" t="n"/>
      <ns0:c r="C22" s="15" t="n"/>
      <ns0:c r="D22" s="15" t="n"/>
      <ns0:c r="E22" s="14" t="str">
        <ns0:f>IF(OR(F22="Bundled",F22="Not applicable"),0,IF(AND(OR(F22="Estimated",F22="Confirmed"),COUNT(B22:D22)=3),B22*C22*D22,"Insufficient Data"))</ns0:f>
        <ns0:v>Insufficient Data</ns0:v>
      </ns0:c>
      <ns0:c r="F22" s="15" t="inlineStr">
        <ns0:is>
          <ns0:t>To confirm</ns0:t>
        </ns0:is>
      </ns0:c>
      <ns0:c r="G22" s="9" t="inlineStr">
        <ns0:is>
          <ns0:t>Admin only; no hosting, support or system internet</ns0:t>
        </ns0:is>
      </ns0:c>
      <ns0:c r="H22" s="15" t="n"/>
      <ns0:c r="I22" s="15" t="inlineStr">
        <ns0:is>
          <ns0:t>Use incremental cash spending; avoid printing / toner overlap.</ns0:t>
        </ns0:is>
      </ns0:c>
    </ns0:row>
    <ns0:row r="23" ht="53.5" customHeight="1">
      <ns0:c r="A23" s="9" t="inlineStr">
        <ns0:is>
          <ns0:t>Reporting / communication</ns0:t>
        </ns0:is>
      </ns0:c>
      <ns0:c r="B23" s="13" t="n"/>
      <ns0:c r="C23" s="15" t="n"/>
      <ns0:c r="D23" s="15" t="n"/>
      <ns0:c r="E23" s="14" t="str">
        <ns0:f>IF(OR(F23="Bundled",F23="Not applicable"),0,IF(AND(OR(F23="Estimated",F23="Confirmed"),COUNT(B23:D23)=3),B23*C23*D23,"Insufficient Data"))</ns0:f>
        <ns0:v>Insufficient Data</ns0:v>
      </ns0:c>
      <ns0:c r="F23" s="15" t="inlineStr">
        <ns0:is>
          <ns0:t>To confirm</ns0:t>
        </ns0:is>
      </ns0:c>
      <ns0:c r="G23" s="9" t="inlineStr">
        <ns0:is>
          <ns0:t>Admin only; no hosting, support or system internet</ns0:t>
        </ns0:is>
      </ns0:c>
      <ns0:c r="H23" s="15" t="n"/>
      <ns0:c r="I23" s="15" t="inlineStr">
        <ns0:is>
          <ns0:t>Use incremental cash spending; avoid printing / toner overlap.</ns0:t>
        </ns0:is>
      </ns0:c>
    </ns0:row>
    <ns0:row r="24" ht="53.5" customHeight="1">
      <ns0:c r="A24" s="9" t="inlineStr">
        <ns0:is>
          <ns0:t>Other attributable admin cash costs</ns0:t>
        </ns0:is>
      </ns0:c>
      <ns0:c r="B24" s="13" t="n"/>
      <ns0:c r="C24" s="15" t="n"/>
      <ns0:c r="D24" s="15" t="n"/>
      <ns0:c r="E24" s="14" t="str">
        <ns0:f>IF(OR(F24="Bundled",F24="Not applicable"),0,IF(AND(OR(F24="Estimated",F24="Confirmed"),COUNT(B24:D24)=3),B24*C24*D24,"Insufficient Data"))</ns0:f>
        <ns0:v>Insufficient Data</ns0:v>
      </ns0:c>
      <ns0:c r="F24" s="15" t="inlineStr">
        <ns0:is>
          <ns0:t>To confirm</ns0:t>
        </ns0:is>
      </ns0:c>
      <ns0:c r="G24" s="9" t="inlineStr">
        <ns0:is>
          <ns0:t>Admin only; no hosting, support or system internet</ns0:t>
        </ns0:is>
      </ns0:c>
      <ns0:c r="H24" s="15" t="n"/>
      <ns0:c r="I24" s="15" t="inlineStr">
        <ns0:is>
          <ns0:t>Use incremental cash spending; avoid printing / toner overlap.</ns0:t>
        </ns0:is>
      </ns0:c>
    </ns0:row>
    <ns0:row r="25" ht="19" customHeight="1"/>
    <ns0:row r="26" ht="41.9" customHeight="1">
      <ns0:c r="A26" s="20" t="inlineStr">
        <ns0:is>
          <ns0:t>Total annual supplies</ns0:t>
        </ns0:is>
      </ns0:c>
      <ns0:c r="E26" s="21" t="str">
        <ns0:f>IF(COUNT(E17,E18,E19,E20,E21)=5,SUM(E17,E18,E19,E20,E21),"Insufficient Data")</ns0:f>
        <ns0:v>Insufficient Data</ns0:v>
      </ns0:c>
      <ns0:c r="F26" s="22" t="inlineStr"/>
    </ns0:row>
    <ns0:row r="27" ht="41.9" customHeight="1">
      <ns0:c r="A27" s="20" t="inlineStr">
        <ns0:is>
          <ns0:t>Other annual admin cash costs</ns0:t>
        </ns0:is>
      </ns0:c>
      <ns0:c r="E27" s="21" t="str">
        <ns0:f>IF(COUNT(E22,E23,E24)=3,SUM(E22,E23,E24),"Insufficient Data")</ns0:f>
        <ns0:v>Insufficient Data</ns0:v>
      </ns0:c>
      <ns0:c r="F27" s="22" t="inlineStr"/>
    </ns0:row>
    <ns0:row r="28" ht="41.9" customHeight="1">
      <ns0:c r="A28" s="20" t="inlineStr">
        <ns0:is>
          <ns0:t>Annual admin cash cost</ns0:t>
        </ns0:is>
      </ns0:c>
      <ns0:c r="E28" s="21" t="str">
        <ns0:f>IF(COUNT(E26,E27)=2,SUM(E26,E27),"Insufficient Data")</ns0:f>
        <ns0:v>Insufficient Data</ns0:v>
      </ns0:c>
      <ns0:c r="F28" s="22" t="inlineStr"/>
    </ns0:row>
    <ns0:row r="29" ht="19" customHeight="1"/>
    <ns0:row r="30" ht="25.9" customHeight="1">
      <ns0:c r="A30" s="18" t="inlineStr">
        <ns0:is>
          <ns0:t>C. COST VIEW AND FINANCIAL BOUNDARY</ns0:t>
        </ns0:is>
      </ns0:c>
    </ns0:row>
    <ns0:row r="31" ht="41.9" customHeight="1">
      <ns0:c r="A31" s="20" t="inlineStr">
        <ns0:is>
          <ns0:t>Admin cash + allocated labour</ns0:t>
        </ns0:is>
      </ns0:c>
      <ns0:c r="E31" s="21" t="str">
        <ns0:f>IF(COUNT(E28,G13)=2,SUM(E28,G13),"Insufficient Data")</ns0:f>
        <ns0:v>Insufficient Data</ns0:v>
      </ns0:c>
      <ns0:c r="F31" s="22" t="inlineStr"/>
    </ns0:row>
    <ns0:row r="32" ht="41.9" customHeight="1">
      <ns0:c r="A32" s="20" t="inlineStr">
        <ns0:is>
          <ns0:t>Recurring system cost (reference only)</ns0:t>
        </ns0:is>
      </ns0:c>
      <ns0:c r="E32" s="21" t="str">
        <ns0:f>'Recurring Costs'!E16</ns0:f>
        <ns0:v>Insufficient Data</ns0:v>
      </ns0:c>
      <ns0:c r="F32" s="22" t="inlineStr"/>
    </ns0:row>
    <ns0:row r="33" ht="41.9" customHeight="1">
      <ns0:c r="A33" s="20" t="inlineStr">
        <ns0:is>
          <ns0:t>Full proposed cash cost</ns0:t>
        </ns0:is>
      </ns0:c>
      <ns0:c r="E33" s="21" t="str">
        <ns0:f>IF(COUNT(E28,E32)=2,SUM(E28,E32),"Insufficient Data")</ns0:f>
        <ns0:v>Insufficient Data</ns0:v>
      </ns0:c>
      <ns0:c r="F33" s="22" t="inlineStr"/>
    </ns0:row>
    <ns0:row r="34" ht="19" customHeight="1"/>
    <ns0:row r="35" ht="34" customHeight="1">
      <ns0:c r="A35" s="6" t="inlineStr">
        <ns0:is>
          <ns0:t>Financial Analysis starts with existing minus proposed admin cash, then subtracts recurring system cost once. Row 33 is a reference comparison, not another model expense.</ns0:t>
        </ns0:is>
      </ns0:c>
    </ns0:row>
    <ns0:row r="36" ht="19" customHeight="1"/>
    <ns0:row r="37" ht="19" customHeight="1"/>
    <ns0:row r="38" ht="39" customHeight="1">
      <ns0:c r="A38" s="6" t="inlineStr">
        <ns0:is>
          <ns0:t>Treatments: Estimated / Confirmed need numeric inputs; Bundled / Not applicable equal an explicit zero; To confirm remains Insufficient Data. Record the supporting basis. Enter zero only after confirming it.</ns0:t>
        </ns0:is>
      </ns0:c>
    </ns0:row>
  </ns0:sheetData>
  <ns0:mergeCells count="24">
    <ns0:mergeCell ref="F31:I31"/>
    <ns0:mergeCell ref="F27:I27"/>
    <ns0:mergeCell ref="A3:I3"/>
    <ns0:mergeCell ref="A28:D28"/>
    <ns0:mergeCell ref="A2:I2"/>
    <ns0:mergeCell ref="A31:D31"/>
    <ns0:mergeCell ref="A5:I5"/>
    <ns0:mergeCell ref="A35:I35"/>
    <ns0:mergeCell ref="A38:I38"/>
    <ns0:mergeCell ref="A12:E12"/>
    <ns0:mergeCell ref="A13:F13"/>
    <ns0:mergeCell ref="G12:I12"/>
    <ns0:mergeCell ref="H13:I13"/>
    <ns0:mergeCell ref="F33:I33"/>
    <ns0:mergeCell ref="A30:I30"/>
    <ns0:mergeCell ref="A15:I15"/>
    <ns0:mergeCell ref="F32:I32"/>
    <ns0:mergeCell ref="F26:I26"/>
    <ns0:mergeCell ref="A27:D27"/>
    <ns0:mergeCell ref="A26:D26"/>
    <ns0:mergeCell ref="A1:I1"/>
    <ns0:mergeCell ref="A33:D33"/>
    <ns0:mergeCell ref="A32:D32"/>
    <ns0:mergeCell ref="F28:I28"/>
  </ns0:mergeCells>
  <ns0:dataValidations count="4">
    <ns0:dataValidation sqref="H7:H10" showDropDown="0" showInputMessage="0" showErrorMessage="1" allowBlank="0" errorTitle="Choose a listed treatment" error="Use a value from the list." type="list" errorStyle="stop">
      <ns0:formula1>"To confirm,Estimated,Confirmed,Not applicable"</ns0:formula1>
    </ns0:dataValidation>
    <ns0:dataValidation sqref="F17:F24" showDropDown="0" showInputMessage="0" showErrorMessage="1" allowBlank="0" errorTitle="Choose a listed treatment" error="Use a value from the list." type="list" errorStyle="stop">
      <ns0:formula1>"To confirm,Estimated,Confirmed,Bundled,Not applicable"</ns0:formula1>
    </ns0:dataValidation>
    <ns0:dataValidation sqref="B7:E10" showDropDown="0" showInputMessage="0" showErrorMessage="1" allowBlank="1" error="Enter a non-negative number." type="decimal" errorStyle="stop" operator="between">
      <ns0:formula1>0</ns0:formula1>
      <ns0:formula2>1000000000</ns0:formula2>
    </ns0:dataValidation>
    <ns0:dataValidation sqref="B17:D24"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2" manualBreakCount="2">
    <ns0:brk id="14" min="0" max="16383" man="1"/>
    <ns0:brk id="29" min="0" max="16383" man="1"/>
  </ns0:rowBreaks>
  <ns0:legacyDrawing ns1:id="anysvml"/>
</ns0:worksheet>
</file>

<file path=xl/worksheets/sheet6.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J48"/>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29" customWidth="1" min="1" max="1"/>
    <ns0:col width="14" customWidth="1" min="2" max="2"/>
    <ns0:col width="14" customWidth="1" min="3" max="3"/>
    <ns0:col width="14" customWidth="1" min="4" max="4"/>
    <ns0:col width="13" customWidth="1" min="5" max="5"/>
    <ns0:col width="17" customWidth="1" min="6" max="6"/>
    <ns0:col width="15" customWidth="1" min="7" max="7"/>
    <ns0:col width="17" customWidth="1" min="8" max="8"/>
    <ns0:col width="17" customWidth="1" min="9" max="9"/>
    <ns0:col width="31" customWidth="1" min="10" max="10"/>
  </ns0:cols>
  <ns0:sheetData>
    <ns0:row r="1" ht="34.6" customHeight="1">
      <ns0:c r="A1" s="1" t="inlineStr">
        <ns0:is>
          <ns0:t>BREAKDOWN OF TANGIBLE BENEFIT WORKSHEET</ns0:t>
        </ns0:is>
      </ns0:c>
    </ns0:row>
    <ns0:row r="2" ht="32" customHeight="1">
      <ns0:c r="A2" s="3" t="inlineStr">
        <ns0:is>
          <ns0:t>Cash savings, released staff capacity and potential equipment exposure are separate measures. Positive savings are not presumed.</ns0:t>
        </ns0:is>
      </ns0:c>
    </ns0:row>
    <ns0:row r="3" ht="23" customHeight="1">
      <ns0:c r="A3" s="4" t="inlineStr">
        <ns0:is>
          <ns0:t>Blue cells: editable inputs | Gray: supplied data / fixed scope | Green text: formulas | Blank: unknown, never a verified zero</ns0:t>
        </ns0:is>
      </ns0:c>
    </ns0:row>
    <ns0:row r="4" ht="19" customHeight="1"/>
    <ns0:row r="5" ht="25.9" customHeight="1">
      <ns0:c r="A5" s="18" t="inlineStr">
        <ns0:is>
          <ns0:t>A. SUPPLIES COST REDUCTION</ns0:t>
        </ns0:is>
      </ns0:c>
    </ns0:row>
    <ns0:row r="6" ht="39" customHeight="1">
      <ns0:c r="A6" s="8" t="inlineStr">
        <ns0:is>
          <ns0:t>Supply</ns0:t>
        </ns0:is>
      </ns0:c>
      <ns0:c r="B6" s="8" t="inlineStr">
        <ns0:is>
          <ns0:t>Existing annual (₱)</ns0:t>
        </ns0:is>
      </ns0:c>
      <ns0:c r="C6" s="8" t="inlineStr">
        <ns0:is>
          <ns0:t>Proposed annual (₱)</ns0:t>
        </ns0:is>
      </ns0:c>
      <ns0:c r="D6" s="8" t="inlineStr">
        <ns0:is>
          <ns0:t>Reduction (₱)</ns0:t>
        </ns0:is>
      </ns0:c>
      <ns0:c r="E6" s="8" t="inlineStr">
        <ns0:is>
          <ns0:t>Classification</ns0:t>
        </ns0:is>
      </ns0:c>
      <ns0:c r="F6" s="8" t="inlineStr">
        <ns0:is>
          <ns0:t>Evidence</ns0:t>
        </ns0:is>
      </ns0:c>
      <ns0:c r="G6" s="8" t="inlineStr"/>
      <ns0:c r="H6" s="8" t="inlineStr"/>
      <ns0:c r="I6" s="8" t="inlineStr"/>
      <ns0:c r="J6" s="8" t="inlineStr"/>
    </ns0:row>
    <ns0:row r="7" ht="39" customHeight="1">
      <ns0:c r="A7" s="9" t="inlineStr">
        <ns0:is>
          <ns0:t>Paper</ns0:t>
        </ns0:is>
      </ns0:c>
      <ns0:c r="B7" s="14" t="str">
        <ns0:f>'Existing System Operating Costs'!E17</ns0:f>
        <ns0:v>Insufficient Data</ns0:v>
      </ns0:c>
      <ns0:c r="C7" s="14" t="str">
        <ns0:f>'Proposed System Operating Costs'!E17</ns0:f>
        <ns0:v>Insufficient Data</ns0:v>
      </ns0:c>
      <ns0:c r="D7" s="14" t="str">
        <ns0:f>IF(COUNT(B7,C7)=2,B7-C7,"Insufficient Data")</ns0:f>
        <ns0:v>Insufficient Data</ns0:v>
      </ns0:c>
      <ns0:c r="E7" s="25" t="inlineStr">
        <ns0:is>
          <ns0:t>Potential cash saving; receipts / budget and post-pilot spending required.</ns0:t>
        </ns0:is>
      </ns0:c>
    </ns0:row>
    <ns0:row r="8" ht="39" customHeight="1">
      <ns0:c r="A8" s="9" t="inlineStr">
        <ns0:is>
          <ns0:t>Printing / copy service (excludes ink)</ns0:t>
        </ns0:is>
      </ns0:c>
      <ns0:c r="B8" s="14" t="str">
        <ns0:f>'Existing System Operating Costs'!E18</ns0:f>
        <ns0:v>Insufficient Data</ns0:v>
      </ns0:c>
      <ns0:c r="C8" s="14" t="str">
        <ns0:f>'Proposed System Operating Costs'!E18</ns0:f>
        <ns0:v>Insufficient Data</ns0:v>
      </ns0:c>
      <ns0:c r="D8" s="14" t="str">
        <ns0:f>IF(COUNT(B8,C8)=2,B8-C8,"Insufficient Data")</ns0:f>
        <ns0:v>Insufficient Data</ns0:v>
      </ns0:c>
      <ns0:c r="E8" s="25" t="inlineStr">
        <ns0:is>
          <ns0:t>Potential cash saving; receipts / budget and post-pilot spending required.</ns0:t>
        </ns0:is>
      </ns0:c>
    </ns0:row>
    <ns0:row r="9" ht="39" customHeight="1">
      <ns0:c r="A9" s="9" t="inlineStr">
        <ns0:is>
          <ns0:t>Ink / toner (excludes copy-service charge)</ns0:t>
        </ns0:is>
      </ns0:c>
      <ns0:c r="B9" s="14" t="str">
        <ns0:f>'Existing System Operating Costs'!E19</ns0:f>
        <ns0:v>Insufficient Data</ns0:v>
      </ns0:c>
      <ns0:c r="C9" s="14" t="str">
        <ns0:f>'Proposed System Operating Costs'!E19</ns0:f>
        <ns0:v>Insufficient Data</ns0:v>
      </ns0:c>
      <ns0:c r="D9" s="14" t="str">
        <ns0:f>IF(COUNT(B9,C9)=2,B9-C9,"Insufficient Data")</ns0:f>
        <ns0:v>Insufficient Data</ns0:v>
      </ns0:c>
      <ns0:c r="E9" s="25" t="inlineStr">
        <ns0:is>
          <ns0:t>Potential cash saving; receipts / budget and post-pilot spending required.</ns0:t>
        </ns0:is>
      </ns0:c>
    </ns0:row>
    <ns0:row r="10" ht="39" customHeight="1">
      <ns0:c r="A10" s="9" t="inlineStr">
        <ns0:is>
          <ns0:t>Recordkeeping materials</ns0:t>
        </ns0:is>
      </ns0:c>
      <ns0:c r="B10" s="14" t="str">
        <ns0:f>'Existing System Operating Costs'!E20</ns0:f>
        <ns0:v>Insufficient Data</ns0:v>
      </ns0:c>
      <ns0:c r="C10" s="14" t="str">
        <ns0:f>'Proposed System Operating Costs'!E20</ns0:f>
        <ns0:v>Insufficient Data</ns0:v>
      </ns0:c>
      <ns0:c r="D10" s="14" t="str">
        <ns0:f>IF(COUNT(B10,C10)=2,B10-C10,"Insufficient Data")</ns0:f>
        <ns0:v>Insufficient Data</ns0:v>
      </ns0:c>
      <ns0:c r="E10" s="25" t="inlineStr">
        <ns0:is>
          <ns0:t>Potential cash saving; receipts / budget and post-pilot spending required.</ns0:t>
        </ns0:is>
      </ns0:c>
    </ns0:row>
    <ns0:row r="11" ht="39" customHeight="1">
      <ns0:c r="A11" s="9" t="inlineStr">
        <ns0:is>
          <ns0:t>Other office supplies</ns0:t>
        </ns0:is>
      </ns0:c>
      <ns0:c r="B11" s="14" t="str">
        <ns0:f>'Existing System Operating Costs'!E21</ns0:f>
        <ns0:v>Insufficient Data</ns0:v>
      </ns0:c>
      <ns0:c r="C11" s="14" t="str">
        <ns0:f>'Proposed System Operating Costs'!E21</ns0:f>
        <ns0:v>Insufficient Data</ns0:v>
      </ns0:c>
      <ns0:c r="D11" s="14" t="str">
        <ns0:f>IF(COUNT(B11,C11)=2,B11-C11,"Insufficient Data")</ns0:f>
        <ns0:v>Insufficient Data</ns0:v>
      </ns0:c>
      <ns0:c r="E11" s="25" t="inlineStr">
        <ns0:is>
          <ns0:t>Potential cash saving; receipts / budget and post-pilot spending required.</ns0:t>
        </ns0:is>
      </ns0:c>
    </ns0:row>
    <ns0:row r="12" ht="41.9" customHeight="1">
      <ns0:c r="A12" s="20" t="inlineStr">
        <ns0:is>
          <ns0:t>ANNUAL SUPPLIES REDUCTION</ns0:t>
        </ns0:is>
      </ns0:c>
      <ns0:c r="D12" s="21" t="str">
        <ns0:f>IF(COUNT(D7,D8,D9,D10,D11)=5,SUM(D7,D8,D9,D10,D11),"Insufficient Data")</ns0:f>
        <ns0:v>Insufficient Data</ns0:v>
      </ns0:c>
      <ns0:c r="E12" s="22" t="inlineStr"/>
    </ns0:row>
    <ns0:row r="13" ht="19" customHeight="1"/>
    <ns0:row r="14" ht="25.9" customHeight="1">
      <ns0:c r="A14" s="18" t="inlineStr">
        <ns0:is>
          <ns0:t>B. LABOUR AND PRODUCTIVITY BENEFITS</ns0:t>
        </ns0:is>
      </ns0:c>
    </ns0:row>
    <ns0:row r="15" ht="53.5" customHeight="1">
      <ns0:c r="A15" s="8" t="inlineStr">
        <ns0:is>
          <ns0:t>Activity</ns0:t>
        </ns0:is>
      </ns0:c>
      <ns0:c r="B15" s="8" t="inlineStr">
        <ns0:is>
          <ns0:t>Existing person-hours</ns0:t>
        </ns0:is>
      </ns0:c>
      <ns0:c r="C15" s="8" t="inlineStr">
        <ns0:is>
          <ns0:t>Proposed person-hours</ns0:t>
        </ns0:is>
      </ns0:c>
      <ns0:c r="D15" s="8" t="inlineStr">
        <ns0:is>
          <ns0:t>Annual hours saved</ns0:t>
        </ns0:is>
      </ns0:c>
      <ns0:c r="E15" s="8" t="inlineStr">
        <ns0:is>
          <ns0:t>Rate (₱ / hour)</ns0:t>
        </ns0:is>
      </ns0:c>
      <ns0:c r="F15" s="8" t="inlineStr">
        <ns0:is>
          <ns0:t>Productivity value (₱)</ns0:t>
        </ns0:is>
      </ns0:c>
      <ns0:c r="G15" s="8" t="inlineStr">
        <ns0:is>
          <ns0:t>Cash realization share</ns0:t>
        </ns0:is>
      </ns0:c>
      <ns0:c r="H15" s="8" t="inlineStr">
        <ns0:is>
          <ns0:t>Payroll cash saving (₱)</ns0:t>
        </ns0:is>
      </ns0:c>
      <ns0:c r="I15" s="8" t="inlineStr">
        <ns0:is>
          <ns0:t>Retained capacity (₱)</ns0:t>
        </ns0:is>
      </ns0:c>
      <ns0:c r="J15" s="8" t="inlineStr">
        <ns0:is>
          <ns0:t>Basis / evidence</ns0:t>
        </ns0:is>
      </ns0:c>
    </ns0:row>
    <ns0:row r="16" ht="68" customHeight="1">
      <ns0:c r="A16" s="9" t="inlineStr">
        <ns0:is>
          <ns0:t>Inventory monitoring / updates</ns0:t>
        </ns0:is>
      </ns0:c>
      <ns0:c r="B16" s="23" t="str">
        <ns0:f>'Existing System Operating Costs'!F7</ns0:f>
        <ns0:v>Insufficient Data</ns0:v>
      </ns0:c>
      <ns0:c r="C16" s="23" t="str">
        <ns0:f>'Proposed System Operating Costs'!F7</ns0:f>
        <ns0:v>Insufficient Data</ns0:v>
      </ns0:c>
      <ns0:c r="D16" s="23" t="str">
        <ns0:f>IF(COUNT(B16,C16)=2,B16-C16,"Insufficient Data")</ns0:f>
        <ns0:v>Insufficient Data</ns0:v>
      </ns0:c>
      <ns0:c r="E16" s="14" t="str">
        <ns0:f>IF(ISNUMBER('Existing System Operating Costs'!E7),'Existing System Operating Costs'!E7,"")</ns0:f>
        <ns0:v/>
      </ns0:c>
      <ns0:c r="F16" s="14" t="str">
        <ns0:f>IF(COUNT(D16:E16)=2,D16*E16,"Insufficient Data")</ns0:f>
        <ns0:v>Insufficient Data</ns0:v>
      </ns0:c>
      <ns0:c r="G16" s="26" t="n">
        <ns0:v>0</ns0:v>
      </ns0:c>
      <ns0:c r="H16" s="14">
        <ns0:f>IF(G16=0,0,IF(COUNT(F16,G16)=2,F16*G16,"Insufficient Data"))</ns0:f>
        <ns0:v>0</ns0:v>
      </ns0:c>
      <ns0:c r="I16" s="14" t="str">
        <ns0:f>IF(COUNT(F16,H16)=2,F16-H16,"Insufficient Data")</ns0:f>
        <ns0:v>Insufficient Data</ns0:v>
      </ns0:c>
      <ns0:c r="J16" s="15" t="inlineStr">
        <ns0:is>
          <ns0:t>0% credits no payroll saving. A higher share requires a documented overtime, contract or payroll reduction.</ns0:t>
        </ns0:is>
      </ns0:c>
    </ns0:row>
    <ns0:row r="17" ht="68" customHeight="1">
      <ns0:c r="A17" s="9" t="inlineStr">
        <ns0:is>
          <ns0:t>Manual report preparation</ns0:t>
        </ns0:is>
      </ns0:c>
      <ns0:c r="B17" s="23" t="str">
        <ns0:f>'Existing System Operating Costs'!F8</ns0:f>
        <ns0:v>Insufficient Data</ns0:v>
      </ns0:c>
      <ns0:c r="C17" s="23" t="str">
        <ns0:f>'Proposed System Operating Costs'!F8</ns0:f>
        <ns0:v>Insufficient Data</ns0:v>
      </ns0:c>
      <ns0:c r="D17" s="23" t="str">
        <ns0:f>IF(COUNT(B17,C17)=2,B17-C17,"Insufficient Data")</ns0:f>
        <ns0:v>Insufficient Data</ns0:v>
      </ns0:c>
      <ns0:c r="E17" s="14" t="str">
        <ns0:f>IF(ISNUMBER('Existing System Operating Costs'!E8),'Existing System Operating Costs'!E8,"")</ns0:f>
        <ns0:v/>
      </ns0:c>
      <ns0:c r="F17" s="14" t="str">
        <ns0:f>IF(COUNT(D17:E17)=2,D17*E17,"Insufficient Data")</ns0:f>
        <ns0:v>Insufficient Data</ns0:v>
      </ns0:c>
      <ns0:c r="G17" s="26" t="n">
        <ns0:v>0</ns0:v>
      </ns0:c>
      <ns0:c r="H17" s="14">
        <ns0:f>IF(G17=0,0,IF(COUNT(F17,G17)=2,F17*G17,"Insufficient Data"))</ns0:f>
        <ns0:v>0</ns0:v>
      </ns0:c>
      <ns0:c r="I17" s="14" t="str">
        <ns0:f>IF(COUNT(F17,H17)=2,F17-H17,"Insufficient Data")</ns0:f>
        <ns0:v>Insufficient Data</ns0:v>
      </ns0:c>
      <ns0:c r="J17" s="15" t="inlineStr">
        <ns0:is>
          <ns0:t>0% credits no payroll saving. A higher share requires a documented overtime, contract or payroll reduction.</ns0:t>
        </ns0:is>
      </ns0:c>
    </ns0:row>
    <ns0:row r="18" ht="68" customHeight="1">
      <ns0:c r="A18" s="9" t="inlineStr">
        <ns0:is>
          <ns0:t>Inventory reconciliation</ns0:t>
        </ns0:is>
      </ns0:c>
      <ns0:c r="B18" s="23" t="str">
        <ns0:f>'Existing System Operating Costs'!F9</ns0:f>
        <ns0:v>Insufficient Data</ns0:v>
      </ns0:c>
      <ns0:c r="C18" s="23" t="str">
        <ns0:f>'Proposed System Operating Costs'!F9</ns0:f>
        <ns0:v>Insufficient Data</ns0:v>
      </ns0:c>
      <ns0:c r="D18" s="23" t="str">
        <ns0:f>IF(COUNT(B18,C18)=2,B18-C18,"Insufficient Data")</ns0:f>
        <ns0:v>Insufficient Data</ns0:v>
      </ns0:c>
      <ns0:c r="E18" s="14" t="str">
        <ns0:f>IF(ISNUMBER('Existing System Operating Costs'!E9),'Existing System Operating Costs'!E9,"")</ns0:f>
        <ns0:v/>
      </ns0:c>
      <ns0:c r="F18" s="14" t="str">
        <ns0:f>IF(COUNT(D18:E18)=2,D18*E18,"Insufficient Data")</ns0:f>
        <ns0:v>Insufficient Data</ns0:v>
      </ns0:c>
      <ns0:c r="G18" s="26" t="n">
        <ns0:v>0</ns0:v>
      </ns0:c>
      <ns0:c r="H18" s="14">
        <ns0:f>IF(G18=0,0,IF(COUNT(F18,G18)=2,F18*G18,"Insufficient Data"))</ns0:f>
        <ns0:v>0</ns0:v>
      </ns0:c>
      <ns0:c r="I18" s="14" t="str">
        <ns0:f>IF(COUNT(F18,H18)=2,F18-H18,"Insufficient Data")</ns0:f>
        <ns0:v>Insufficient Data</ns0:v>
      </ns0:c>
      <ns0:c r="J18" s="15" t="inlineStr">
        <ns0:is>
          <ns0:t>0% credits no payroll saving. A higher share requires a documented overtime, contract or payroll reduction.</ns0:t>
        </ns0:is>
      </ns0:c>
    </ns0:row>
    <ns0:row r="19" ht="68" customHeight="1">
      <ns0:c r="A19" s="9" t="inlineStr">
        <ns0:is>
          <ns0:t>Equipment accountability follow-ups</ns0:t>
        </ns0:is>
      </ns0:c>
      <ns0:c r="B19" s="23" t="str">
        <ns0:f>'Existing System Operating Costs'!F10</ns0:f>
        <ns0:v>Insufficient Data</ns0:v>
      </ns0:c>
      <ns0:c r="C19" s="23" t="str">
        <ns0:f>'Proposed System Operating Costs'!F10</ns0:f>
        <ns0:v>Insufficient Data</ns0:v>
      </ns0:c>
      <ns0:c r="D19" s="23" t="str">
        <ns0:f>IF(COUNT(B19,C19)=2,B19-C19,"Insufficient Data")</ns0:f>
        <ns0:v>Insufficient Data</ns0:v>
      </ns0:c>
      <ns0:c r="E19" s="14" t="str">
        <ns0:f>IF(ISNUMBER('Existing System Operating Costs'!E10),'Existing System Operating Costs'!E10,"")</ns0:f>
        <ns0:v/>
      </ns0:c>
      <ns0:c r="F19" s="14" t="str">
        <ns0:f>IF(COUNT(D19:E19)=2,D19*E19,"Insufficient Data")</ns0:f>
        <ns0:v>Insufficient Data</ns0:v>
      </ns0:c>
      <ns0:c r="G19" s="26" t="n">
        <ns0:v>0</ns0:v>
      </ns0:c>
      <ns0:c r="H19" s="14">
        <ns0:f>IF(G19=0,0,IF(COUNT(F19,G19)=2,F19*G19,"Insufficient Data"))</ns0:f>
        <ns0:v>0</ns0:v>
      </ns0:c>
      <ns0:c r="I19" s="14" t="str">
        <ns0:f>IF(COUNT(F19,H19)=2,F19-H19,"Insufficient Data")</ns0:f>
        <ns0:v>Insufficient Data</ns0:v>
      </ns0:c>
      <ns0:c r="J19" s="15" t="inlineStr">
        <ns0:is>
          <ns0:t>0% credits no payroll saving. A higher share requires a documented overtime, contract or payroll reduction.</ns0:t>
        </ns0:is>
      </ns0:c>
    </ns0:row>
    <ns0:row r="20" ht="19" customHeight="1"/>
    <ns0:row r="21" ht="41.9" customHeight="1">
      <ns0:c r="A21" s="20" t="inlineStr">
        <ns0:is>
          <ns0:t>Total annual hours saved</ns0:t>
        </ns0:is>
      </ns0:c>
      <ns0:c r="D21" s="24" t="str">
        <ns0:f>IF(COUNT(D16,D17,D18,D19)=4,SUM(D16,D17,D18,D19),"Insufficient Data")</ns0:f>
        <ns0:v>Insufficient Data</ns0:v>
      </ns0:c>
      <ns0:c r="E21" s="22" t="inlineStr"/>
    </ns0:row>
    <ns0:row r="22" ht="28" customHeight="1">
      <ns0:c r="A22" s="20" t="inlineStr">
        <ns0:is>
          <ns0:t>Total productivity value</ns0:t>
        </ns0:is>
      </ns0:c>
      <ns0:c r="F22" s="21" t="str">
        <ns0:f>IF(COUNT(F16,F17,F18,F19)=4,SUM(F16,F17,F18,F19),"Insufficient Data")</ns0:f>
        <ns0:v>Insufficient Data</ns0:v>
      </ns0:c>
      <ns0:c r="G22" s="22" t="inlineStr"/>
    </ns0:row>
    <ns0:row r="23" ht="28" customHeight="1">
      <ns0:c r="A23" s="20" t="inlineStr">
        <ns0:is>
          <ns0:t>Credited annual payroll cash savings</ns0:t>
        </ns0:is>
      </ns0:c>
      <ns0:c r="H23" s="21">
        <ns0:f>IF(COUNT(H16,H17,H18,H19)=4,SUM(H16,H17,H18,H19),"Insufficient Data")</ns0:f>
        <ns0:v>0.0</ns0:v>
      </ns0:c>
      <ns0:c r="I23" s="22" t="inlineStr"/>
    </ns0:row>
    <ns0:row r="24" ht="28" customHeight="1">
      <ns0:c r="A24" s="20" t="inlineStr">
        <ns0:is>
          <ns0:t>Retained capacity value (excluded from cash ROI)</ns0:t>
        </ns0:is>
      </ns0:c>
      <ns0:c r="I24" s="21" t="str">
        <ns0:f>IF(COUNT(I16,I17,I18,I19)=4,SUM(I16,I17,I18,I19),"Insufficient Data")</ns0:f>
        <ns0:v>Insufficient Data</ns0:v>
      </ns0:c>
      <ns0:c r="J24" s="22" t="inlineStr"/>
    </ns0:row>
    <ns0:row r="25" ht="19" customHeight="1"/>
    <ns0:row r="26" ht="25.9" customHeight="1">
      <ns0:c r="A26" s="18" t="inlineStr">
        <ns0:is>
          <ns0:t>C. EQUIPMENT ACCOUNTABILITY / COST AVOIDANCE</ns0:t>
        </ns0:is>
      </ns0:c>
    </ns0:row>
    <ns0:row r="27" ht="39" customHeight="1">
      <ns0:c r="A27" s="8" t="inlineStr">
        <ns0:is>
          <ns0:t>Benefit / measure</ns0:t>
        </ns0:is>
      </ns0:c>
      <ns0:c r="B27" s="8" t="inlineStr">
        <ns0:is>
          <ns0:t>Observed units</ns0:t>
        </ns0:is>
      </ns0:c>
      <ns0:c r="C27" s="8" t="inlineStr">
        <ns0:is>
          <ns0:t>Claim input (₱ / year)</ns0:t>
        </ns0:is>
      </ns0:c>
      <ns0:c r="D27" s="8" t="inlineStr">
        <ns0:is>
          <ns0:t>Include in cash model?</ns0:t>
        </ns0:is>
      </ns0:c>
      <ns0:c r="E27" s="8" t="inlineStr">
        <ns0:is>
          <ns0:t>Credited amount (₱)</ns0:t>
        </ns0:is>
      </ns0:c>
      <ns0:c r="F27" s="8" t="inlineStr">
        <ns0:is>
          <ns0:t>Evidence / boundary</ns0:t>
        </ns0:is>
      </ns0:c>
      <ns0:c r="G27" s="8" t="inlineStr"/>
      <ns0:c r="H27" s="8" t="inlineStr"/>
      <ns0:c r="I27" s="8" t="inlineStr"/>
      <ns0:c r="J27" s="8" t="inlineStr"/>
    </ns0:row>
    <ns0:row r="28" ht="39" customHeight="1">
      <ns0:c r="A28" s="9" t="inlineStr">
        <ns0:is>
          <ns0:t>Unreconciled inventory exposure</ns0:t>
        </ns0:is>
      </ns0:c>
      <ns0:c r="B28" s="11">
        <ns0:f>'Inventory Baseline'!E34</ns0:f>
        <ns0:v>463.0</ns0:v>
      </ns0:c>
      <ns0:c r="C28" s="14" t="str">
        <ns0:f>'Inventory Baseline'!I34</ns0:f>
        <ns0:v>Unverified</ns0:v>
      </ns0:c>
      <ns0:c r="D28" s="9" t="inlineStr">
        <ns0:is>
          <ns0:t>Never automatic</ns0:t>
        </ns0:is>
      </ns0:c>
      <ns0:c r="E28" s="27" t="n">
        <ns0:v>0</ns0:v>
      </ns0:c>
      <ns0:c r="F28" s="25" t="inlineStr">
        <ns0:is>
          <ns0:t>Stock-value exposure, not a yearly benefit. Unit replacement prices and physical status unverified.</ns0:t>
        </ns0:is>
      </ns0:c>
    </ns0:row>
    <ns0:row r="29" ht="42" customHeight="1">
      <ns0:c r="A29" s="9" t="inlineStr">
        <ns0:is>
          <ns0:t>Avoided confirmed loss / replacement</ns0:t>
        </ns0:is>
      </ns0:c>
      <ns0:c r="C29" s="13" t="n"/>
      <ns0:c r="D29" s="15" t="inlineStr">
        <ns0:is>
          <ns0:t>Exclude</ns0:t>
        </ns0:is>
      </ns0:c>
      <ns0:c r="E29" s="14">
        <ns0:f>IF(D29="Exclude",0,IF(ISNUMBER(C29),C29,"Insufficient Data"))</ns0:f>
        <ns0:v>0</ns0:v>
      </ns0:c>
      <ns0:c r="F29" s="25" t="inlineStr">
        <ns0:is>
          <ns0:t>Annual attributable saving needs approved evidence, a repeatable baseline and a distinct purchase / loss event. The same event cannot be credited twice.</ns0:t>
        </ns0:is>
      </ns0:c>
    </ns0:row>
    <ns0:row r="30" ht="42" customHeight="1">
      <ns0:c r="A30" s="9" t="inlineStr">
        <ns0:is>
          <ns0:t>Avoided duplicate procurement</ns0:t>
        </ns0:is>
      </ns0:c>
      <ns0:c r="C30" s="13" t="n"/>
      <ns0:c r="D30" s="15" t="inlineStr">
        <ns0:is>
          <ns0:t>Exclude</ns0:t>
        </ns0:is>
      </ns0:c>
      <ns0:c r="E30" s="14">
        <ns0:f>IF(D30="Exclude",0,IF(ISNUMBER(C30),C30,"Insufficient Data"))</ns0:f>
        <ns0:v>0</ns0:v>
      </ns0:c>
      <ns0:c r="F30" s="25" t="inlineStr">
        <ns0:is>
          <ns0:t>Annual attributable saving needs approved evidence, a repeatable baseline and a distinct purchase / loss event. The same event cannot be credited twice.</ns0:t>
        </ns0:is>
      </ns0:c>
    </ns0:row>
    <ns0:row r="31" ht="19" customHeight="1"/>
    <ns0:row r="32" ht="28" customHeight="1">
      <ns0:c r="A32" s="20" t="inlineStr">
        <ns0:is>
          <ns0:t>Equipment benefits credited to cash model</ns0:t>
        </ns0:is>
      </ns0:c>
      <ns0:c r="E32" s="21">
        <ns0:f>IF(COUNT(E29,E30)=2,SUM(E29,E30),"Insufficient Data")</ns0:f>
        <ns0:v>0.0</ns0:v>
      </ns0:c>
      <ns0:c r="F32" s="22" t="inlineStr"/>
    </ns0:row>
    <ns0:row r="33" ht="19" customHeight="1"/>
    <ns0:row r="34" ht="39" customHeight="1">
      <ns0:c r="A34" s="6" t="inlineStr">
        <ns0:is>
          <ns0:t>Both equipment benefit lines are excluded by default. Blank claims remain unverified. A one-time recovery of historical items must not be entered as a repeating annual saving. No assumed recovery rate is applied to 463 units.</ns0:t>
        </ns0:is>
      </ns0:c>
    </ns0:row>
    <ns0:row r="35" ht="19" customHeight="1"/>
    <ns0:row r="36" ht="25.9" customHeight="1">
      <ns0:c r="A36" s="18" t="inlineStr">
        <ns0:is>
          <ns0:t>D. TOTAL ANNUAL TANGIBLE BENEFITS</ns0:t>
        </ns0:is>
      </ns0:c>
    </ns0:row>
    <ns0:row r="37" ht="41.9" customHeight="1">
      <ns0:c r="A37" s="20" t="inlineStr">
        <ns0:is>
          <ns0:t>Supplies cash reduction</ns0:t>
        </ns0:is>
      </ns0:c>
      <ns0:c r="E37" s="21" t="str">
        <ns0:f>D12</ns0:f>
        <ns0:v>Insufficient Data</ns0:v>
      </ns0:c>
      <ns0:c r="F37" s="22" t="inlineStr"/>
    </ns0:row>
    <ns0:row r="38" ht="41.9" customHeight="1">
      <ns0:c r="A38" s="20" t="inlineStr">
        <ns0:is>
          <ns0:t>Other admin cash reduction</ns0:t>
        </ns0:is>
      </ns0:c>
      <ns0:c r="E38" s="21" t="str">
        <ns0:f>IF(COUNT('Existing System Operating Costs'!E27,'Proposed System Operating Costs'!E27)=2,'Existing System Operating Costs'!E27-'Proposed System Operating Costs'!E27,"Insufficient Data")</ns0:f>
        <ns0:v>Insufficient Data</ns0:v>
      </ns0:c>
      <ns0:c r="F38" s="22" t="inlineStr"/>
    </ns0:row>
    <ns0:row r="39" ht="28" customHeight="1">
      <ns0:c r="A39" s="20" t="inlineStr">
        <ns0:is>
          <ns0:t>Payroll cash savings credited</ns0:t>
        </ns0:is>
      </ns0:c>
      <ns0:c r="E39" s="21">
        <ns0:f>H23</ns0:f>
        <ns0:v>0.0</ns0:v>
      </ns0:c>
      <ns0:c r="F39" s="22" t="inlineStr"/>
    </ns0:row>
    <ns0:row r="40" ht="28" customHeight="1">
      <ns0:c r="A40" s="20" t="inlineStr">
        <ns0:is>
          <ns0:t>Equipment / procurement savings credited</ns0:t>
        </ns0:is>
      </ns0:c>
      <ns0:c r="E40" s="21">
        <ns0:f>E32</ns0:f>
        <ns0:v>0.0</ns0:v>
      </ns0:c>
      <ns0:c r="F40" s="22" t="inlineStr"/>
    </ns0:row>
    <ns0:row r="41" ht="19" customHeight="1"/>
    <ns0:row r="42" ht="41.9" customHeight="1">
      <ns0:c r="A42" s="20" t="inlineStr">
        <ns0:is>
          <ns0:t>TOTAL ANNUAL CASH TANGIBLE BENEFITS</ns0:t>
        </ns0:is>
      </ns0:c>
      <ns0:c r="E42" s="21" t="str">
        <ns0:f>IF(COUNT(E37,E38,E39,E40)=4,SUM(E37,E38,E39,E40),"Insufficient Data")</ns0:f>
        <ns0:v>Insufficient Data</ns0:v>
      </ns0:c>
      <ns0:c r="F42" s="22" t="inlineStr"/>
    </ns0:row>
    <ns0:row r="43" ht="41.9" customHeight="1">
      <ns0:c r="A43" s="20" t="inlineStr">
        <ns0:is>
          <ns0:t>Released capacity value (noncash)</ns0:t>
        </ns0:is>
      </ns0:c>
      <ns0:c r="E43" s="21" t="str">
        <ns0:f>I24</ns0:f>
        <ns0:v>Insufficient Data</ns0:v>
      </ns0:c>
      <ns0:c r="F43" s="22" t="inlineStr"/>
    </ns0:row>
    <ns0:row r="44" ht="41.9" customHeight="1">
      <ns0:c r="A44" s="20" t="inlineStr">
        <ns0:is>
          <ns0:t>Cash + retained productivity value</ns0:t>
        </ns0:is>
      </ns0:c>
      <ns0:c r="E44" s="21" t="str">
        <ns0:f>IF(COUNT(E42,E43)=2,SUM(E42,E43),"Insufficient Data")</ns0:f>
        <ns0:v>Insufficient Data</ns0:v>
      </ns0:c>
      <ns0:c r="F44" s="22" t="inlineStr"/>
    </ns0:row>
    <ns0:row r="45" ht="19" customHeight="1"/>
    <ns0:row r="46" ht="35" customHeight="1">
      <ns0:c r="A46" s="6" t="inlineStr">
        <ns0:is>
          <ns0:t>Cash ROI uses row 42 only. Productivity-inclusive appraisal uses cash plus retained capacity (row 44), which is labelled separately and is not cash flow. Financial Analysis deducts recurring system cost once.</ns0:t>
        </ns0:is>
      </ns0:c>
    </ns0:row>
    <ns0:row r="47" ht="19" customHeight="1"/>
    <ns0:row r="48" ht="39" customHeight="1">
      <ns0:c r="A48" s="6" t="inlineStr">
        <ns0:is>
          <ns0:t>Annual person-hours = hours/person/event × staff × events/year. Annual hours saved = existing annual person-hours − proposed annual person-hours. With equal staff and workload this equals hours saved per activity × frequency.</ns0:t>
        </ns0:is>
      </ns0:c>
    </ns0:row>
  </ns0:sheetData>
  <ns0:mergeCells count="44">
    <ns0:mergeCell ref="A5:J5"/>
    <ns0:mergeCell ref="F44:J44"/>
    <ns0:mergeCell ref="F29:J29"/>
    <ns0:mergeCell ref="E10:J10"/>
    <ns0:mergeCell ref="A14:J14"/>
    <ns0:mergeCell ref="A24:H24"/>
    <ns0:mergeCell ref="A38:D38"/>
    <ns0:mergeCell ref="E9:J9"/>
    <ns0:mergeCell ref="A43:D43"/>
    <ns0:mergeCell ref="A21:C21"/>
    <ns0:mergeCell ref="A12:C12"/>
    <ns0:mergeCell ref="F40:J40"/>
    <ns0:mergeCell ref="A44:D44"/>
    <ns0:mergeCell ref="G22:J22"/>
    <ns0:mergeCell ref="F30:J30"/>
    <ns0:mergeCell ref="E11:J11"/>
    <ns0:mergeCell ref="A40:D40"/>
    <ns0:mergeCell ref="A39:D39"/>
    <ns0:mergeCell ref="A34:J34"/>
    <ns0:mergeCell ref="F42:J42"/>
    <ns0:mergeCell ref="A48:J48"/>
    <ns0:mergeCell ref="F32:J32"/>
    <ns0:mergeCell ref="E7:J7"/>
    <ns0:mergeCell ref="A1:J1"/>
    <ns0:mergeCell ref="A36:J36"/>
    <ns0:mergeCell ref="F38:J38"/>
    <ns0:mergeCell ref="F28:J28"/>
    <ns0:mergeCell ref="I23:J23"/>
    <ns0:mergeCell ref="E12:J12"/>
    <ns0:mergeCell ref="J24"/>
    <ns0:mergeCell ref="A22:E22"/>
    <ns0:mergeCell ref="E21:J21"/>
    <ns0:mergeCell ref="A37:D37"/>
    <ns0:mergeCell ref="A46:J46"/>
    <ns0:mergeCell ref="F43:J43"/>
    <ns0:mergeCell ref="F37:J37"/>
    <ns0:mergeCell ref="F39:J39"/>
    <ns0:mergeCell ref="A3:J3"/>
    <ns0:mergeCell ref="E8:J8"/>
    <ns0:mergeCell ref="A26:J26"/>
    <ns0:mergeCell ref="A2:J2"/>
    <ns0:mergeCell ref="A42:D42"/>
    <ns0:mergeCell ref="A32:D32"/>
    <ns0:mergeCell ref="A23:G23"/>
  </ns0:mergeCells>
  <ns0:dataValidations count="3">
    <ns0:dataValidation sqref="D29:D30" showDropDown="0" showInputMessage="0" showErrorMessage="1" allowBlank="0" errorTitle="Choose a listed treatment" error="Use a value from the list." type="list" errorStyle="stop">
      <ns0:formula1>"Exclude,Include with evidence"</ns0:formula1>
    </ns0:dataValidation>
    <ns0:dataValidation sqref="C29:C30" showDropDown="0" showInputMessage="0" showErrorMessage="1" allowBlank="1" error="Enter a non-negative number." type="decimal" errorStyle="stop" operator="between">
      <ns0:formula1>0</ns0:formula1>
      <ns0:formula2>1000000000</ns0:formula2>
    </ns0:dataValidation>
    <ns0:dataValidation sqref="G16:G19" showDropDown="0" showInputMessage="0" showErrorMessage="1" allowBlank="1" error="Enter a non-negative number between 0 and 1." type="decimal" errorStyle="stop" operator="between">
      <ns0:formula1>0</ns0:formula1>
      <ns0:formula2>1</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3" manualBreakCount="3">
    <ns0:brk id="13" min="0" max="16383" man="1"/>
    <ns0:brk id="25" min="0" max="16383" man="1"/>
    <ns0:brk id="35" min="0" max="16383" man="1"/>
  </ns0:rowBreaks>
  <ns0:legacyDrawing ns1:id="anysvml"/>
</ns0:worksheet>
</file>

<file path=xl/worksheets/sheet7.xml><?xml version="1.0" encoding="utf-8"?>
<ns0:worksheet xmlns:ns0="http://schemas.openxmlformats.org/spreadsheetml/2006/main">
  <ns0:sheetPr>
    <ns0:tabColor rgb="0018364E"/>
    <ns0:outlinePr summaryBelow="1" summaryRight="0"/>
    <ns0:pageSetUpPr fitToPage="1"/>
  </ns0:sheetPr>
  <ns0:dimension ref="A1:E20"/>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24" customWidth="1" min="1" max="1"/>
    <ns0:col width="46" customWidth="1" min="2" max="2"/>
    <ns0:col width="11" customWidth="1" min="3" max="3"/>
    <ns0:col width="40" customWidth="1" min="4" max="4"/>
    <ns0:col width="45" customWidth="1" min="5" max="5"/>
  </ns0:cols>
  <ns0:sheetData>
    <ns0:row r="1" ht="34.6" customHeight="1">
      <ns0:c r="A1" s="1" t="inlineStr">
        <ns0:is>
          <ns0:t>INTANGIBLE BENEFITS</ns0:t>
        </ns0:is>
      </ns0:c>
    </ns0:row>
    <ns0:row r="2" ht="32" customHeight="1">
      <ns0:c r="A2" s="3" t="inlineStr">
        <ns0:is>
          <ns0:t>Qualitative benefits tied to reviewed features. Each needs a pilot measure; no monetary amount is assigned.</ns0:t>
        </ns0:is>
      </ns0:c>
    </ns0:row>
    <ns0:row r="3" ht="23" customHeight="1">
      <ns0:c r="A3" s="4" t="inlineStr">
        <ns0:is>
          <ns0:t>Blue cells: editable inputs | Gray: supplied data / fixed scope | Green text: formulas | Blank: unknown, never a verified zero</ns0:t>
        </ns0:is>
      </ns0:c>
    </ns0:row>
    <ns0:row r="4" ht="19" customHeight="1"/>
    <ns0:row r="5" ht="19" customHeight="1"/>
    <ns0:row r="6" ht="32" customHeight="1">
      <ns0:c r="A6" s="8" t="inlineStr">
        <ns0:is>
          <ns0:t>Benefit</ns0:t>
        </ns0:is>
      </ns0:c>
      <ns0:c r="B6" s="8" t="inlineStr">
        <ns0:is>
          <ns0:t>Supporting implemented feature</ns0:t>
        </ns0:is>
      </ns0:c>
      <ns0:c r="C6" s="8" t="inlineStr">
        <ns0:is>
          <ns0:t>Evidence</ns0:t>
        </ns0:is>
      </ns0:c>
      <ns0:c r="D6" s="8" t="inlineStr">
        <ns0:is>
          <ns0:t>Proposed performance indicator</ns0:t>
        </ns0:is>
      </ns0:c>
      <ns0:c r="E6" s="8" t="inlineStr">
        <ns0:is>
          <ns0:t>Limitation / condition</ns0:t>
        </ns0:is>
      </ns0:c>
    </ns0:row>
    <ns0:row r="7" ht="66" customHeight="1">
      <ns0:c r="A7" s="9" t="inlineStr">
        <ns0:is>
          <ns0:t>Equipment accountability</ns0:t>
        </ns0:is>
      </ns0:c>
      <ns0:c r="B7" s="9" t="inlineStr">
        <ns0:is>
          <ns0:t>Named holder, reservation and inspected receipt associate an asset with an accountable person.</ns0:t>
        </ns0:is>
      </ns0:c>
      <ns0:c r="C7" s="9" t="inlineStr">
        <ns0:is>
          <ns0:t>R4–R6, R10</ns0:t>
        </ns0:is>
      </ns0:c>
      <ns0:c r="D7" s="9" t="inlineStr">
        <ns0:is>
          <ns0:t>Share of held records with a named active custodian.</ns0:t>
        </ns0:is>
      </ns0:c>
      <ns0:c r="E7" s="9" t="inlineStr">
        <ns0:is>
          <ns0:t>Needs timely, truthful handover entry; no automatic physical recovery.</ns0:t>
        </ns0:is>
      </ns0:c>
    </ns0:row>
    <ns0:row r="8" ht="66" customHeight="1">
      <ns0:c r="A8" s="9" t="inlineStr">
        <ns0:is>
          <ns0:t>Visibility of assignments</ns0:t>
        </ns0:is>
      </ns0:c>
      <ns0:c r="B8" s="9" t="inlineStr">
        <ns0:is>
          <ns0:t>Equipment profiles and project / personal lists expose recorded holder, quantity and location.</ns0:t>
        </ns0:is>
      </ns0:c>
      <ns0:c r="C8" s="9" t="inlineStr">
        <ns0:is>
          <ns0:t>R4–R6</ns0:t>
        </ns0:is>
      </ns0:c>
      <ns0:c r="D8" s="9" t="inlineStr">
        <ns0:is>
          <ns0:t>Time to identify recorded holder and site.</ns0:t>
        </ns0:is>
      </ns0:c>
      <ns0:c r="E8" s="9" t="inlineStr">
        <ns0:is>
          <ns0:t>Recorded state still requires a physical check.</ns0:t>
        </ns0:is>
      </ns0:c>
    </ns0:row>
    <ns0:row r="9" ht="66" customHeight="1">
      <ns0:c r="A9" s="9" t="inlineStr">
        <ns0:is>
          <ns0:t>Record accuracy</ns0:t>
        </ns0:is>
      </ns0:c>
      <ns0:c r="B9" s="9" t="inlineStr">
        <ns0:is>
          <ns0:t>Eligibility verification and condition capture reduce inconsistent handovers.</ns0:t>
        </ns0:is>
      </ns0:c>
      <ns0:c r="C9" s="9" t="inlineStr">
        <ns0:is>
          <ns0:t>R5, R6, R10</ns0:t>
        </ns0:is>
      </ns0:c>
      <ns0:c r="D9" s="9" t="inlineStr">
        <ns0:is>
          <ns0:t>Record-to-count variance and correction rate.</ns0:t>
        </ns0:is>
      </ns0:c>
      <ns0:c r="E9" s="9" t="inlineStr">
        <ns0:is>
          <ns0:t>Actual server migrations and role controls must match reviewed code.</ns0:t>
        </ns0:is>
      </ns0:c>
    </ns0:row>
    <ns0:row r="10" ht="66" customHeight="1">
      <ns0:c r="A10" s="9" t="inlineStr">
        <ns0:is>
          <ns0:t>Faster equipment information</ns0:t>
        </ns0:is>
      </ns0:c>
      <ns0:c r="B10" s="9" t="inlineStr">
        <ns0:is>
          <ns0:t>Search and filtered inventory views reduce repeated manual lookup.</ns0:t>
        </ns0:is>
      </ns0:c>
      <ns0:c r="C10" s="9" t="inlineStr">
        <ns0:is>
          <ns0:t>R4, R7</ns0:t>
        </ns0:is>
      </ns0:c>
      <ns0:c r="D10" s="9" t="inlineStr">
        <ns0:is>
          <ns0:t>Median lookup time in matched pilot tasks.</ns0:t>
        </ns0:is>
      </ns0:c>
      <ns0:c r="E10" s="9" t="inlineStr">
        <ns0:is>
          <ns0:t>No measured speed improvement supplied.</ns0:t>
        </ns0:is>
      </ns0:c>
    </ns0:row>
    <ns0:row r="11" ht="66" customHeight="1">
      <ns0:c r="A11" s="9" t="inlineStr">
        <ns0:is>
          <ns0:t>Management decisions</ns0:t>
        </ns0:is>
      </ns0:c>
      <ns0:c r="B11" s="9" t="inlineStr">
        <ns0:is>
          <ns0:t>Current inventory and movement reports can inform allocation and purchasing review.</ns0:t>
        </ns0:is>
      </ns0:c>
      <ns0:c r="C11" s="9" t="inlineStr">
        <ns0:is>
          <ns0:t>R7, R11</ns0:t>
        </ns0:is>
      </ns0:c>
      <ns0:c r="D11" s="9" t="inlineStr">
        <ns0:is>
          <ns0:t>Percentage of purchase decisions checked against available inventory.</ns0:t>
        </ns0:is>
      </ns0:c>
      <ns0:c r="E11" s="9" t="inlineStr">
        <ns0:is>
          <ns0:t>No automated procurement optimization or guaranteed savings claimed.</ns0:t>
        </ns0:is>
      </ns0:c>
    </ns0:row>
    <ns0:row r="12" ht="66" customHeight="1">
      <ns0:c r="A12" s="9" t="inlineStr">
        <ns0:is>
          <ns0:t>Fewer reporting errors</ns0:t>
        </ns0:is>
      </ns0:c>
      <ns0:c r="B12" s="9" t="inlineStr">
        <ns0:is>
          <ns0:t>Report output reuses recorded fields and PDF export instead of retyping a separate summary.</ns0:t>
        </ns0:is>
      </ns0:c>
      <ns0:c r="C12" s="9" t="inlineStr">
        <ns0:is>
          <ns0:t>R7, R11</ns0:t>
        </ns0:is>
      </ns0:c>
      <ns0:c r="D12" s="9" t="inlineStr">
        <ns0:is>
          <ns0:t>Report corrections per cycle.</ns0:t>
        </ns0:is>
      </ns0:c>
      <ns0:c r="E12" s="9" t="inlineStr">
        <ns0:is>
          <ns0:t>Input errors and incomplete field reports remain possible.</ns0:t>
        </ns0:is>
      </ns0:c>
    </ns0:row>
    <ns0:row r="13" ht="66" customHeight="1">
      <ns0:c r="A13" s="9" t="inlineStr">
        <ns0:is>
          <ns0:t>Inventory transparency</ns0:t>
        </ns0:is>
      </ns0:c>
      <ns0:c r="B13" s="9" t="inlineStr">
        <ns0:is>
          <ns0:t>Current state is separated from saved historical observations.</ns0:t>
        </ns0:is>
      </ns0:c>
      <ns0:c r="C13" s="9" t="inlineStr">
        <ns0:is>
          <ns0:t>R7, R8</ns0:t>
        </ns0:is>
      </ns0:c>
      <ns0:c r="D13" s="9" t="inlineStr">
        <ns0:is>
          <ns0:t>Coverage of scheduled snapshots and reported exceptions.</ns0:t>
        </ns0:is>
      </ns0:c>
      <ns0:c r="E13" s="9" t="inlineStr">
        <ns0:is>
          <ns0:t>No historical reconstruction; scheduler setup must be confirmed.</ns0:t>
        </ns0:is>
      </ns0:c>
    </ns0:row>
    <ns0:row r="14" ht="66" customHeight="1">
      <ns0:c r="A14" s="9" t="inlineStr">
        <ns0:is>
          <ns0:t>Stronger audit trails</ns0:t>
        </ns0:is>
      </ns0:c>
      <ns0:c r="B14" s="9" t="inlineStr">
        <ns0:is>
          <ns0:t>Saved movement actions, inspection notes and recovery actions support traceability.</ns0:t>
        </ns0:is>
      </ns0:c>
      <ns0:c r="C14" s="9" t="inlineStr">
        <ns0:is>
          <ns0:t>R5, R6, R11</ns0:t>
        </ns0:is>
      </ns0:c>
      <ns0:c r="D14" s="9" t="inlineStr">
        <ns0:is>
          <ns0:t>Share of sampled handovers with complete movement / receipt evidence.</ns0:t>
        </ns0:is>
      </ns0:c>
      <ns0:c r="E14" s="9" t="inlineStr">
        <ns0:is>
          <ns0:t>Movement history is not proof of physical count or a full financial audit.</ns0:t>
        </ns0:is>
      </ns0:c>
    </ns0:row>
    <ns0:row r="15" ht="66" customHeight="1">
      <ns0:c r="A15" s="9" t="inlineStr">
        <ns0:is>
          <ns0:t>Management oversight</ns0:t>
        </ns0:is>
      </ns0:c>
      <ns0:c r="B15" s="9" t="inlineStr">
        <ns0:is>
          <ns0:t>Role routes, missing / repair views and notifications expose unresolved work.</ns0:t>
        </ns0:is>
      </ns0:c>
      <ns0:c r="C15" s="9" t="inlineStr">
        <ns0:is>
          <ns0:t>R6, R8, R9</ns0:t>
        </ns0:is>
      </ns0:c>
      <ns0:c r="D15" s="9" t="inlineStr">
        <ns0:is>
          <ns0:t>Age of unresolved discrepancy cases and overdue actions.</ns0:t>
        </ns0:is>
      </ns0:c>
      <ns0:c r="E15" s="9" t="inlineStr">
        <ns0:is>
          <ns0:t>Notifications and scheduling depend on deployed services and user follow-through.</ns0:t>
        </ns0:is>
      </ns0:c>
    </ns0:row>
    <ns0:row r="16" ht="19" customHeight="1"/>
    <ns0:row r="17" ht="19" customHeight="1"/>
    <ns0:row r="18" ht="39" customHeight="1">
      <ns0:c r="A18" s="6" t="inlineStr">
        <ns0:is>
          <ns0:t>Source review establishes capability, not measured business performance or confirmed production deployment. Demo records and seeded materials do not establish company inventory or financial facts.</ns0:t>
        </ns0:is>
      </ns0:c>
    </ns0:row>
    <ns0:row r="19" ht="19" customHeight="1"/>
    <ns0:row r="20" ht="39" customHeight="1">
      <ns0:c r="A20" s="6" t="inlineStr">
        <ns0:is>
          <ns0:t>Prioritize physical verification of the 3 flagged categories and a matched workload pilot. Do not promise automatic recovery, theft prevention, partial equipment-record receipt or unattended historical reconstruction.</ns0:t>
        </ns0:is>
      </ns0:c>
    </ns0:row>
  </ns0:sheetData>
  <ns0:autoFilter ref="A6:E15"/>
  <ns0:mergeCells count="5">
    <ns0:mergeCell ref="A20:E20"/>
    <ns0:mergeCell ref="A2:E2"/>
    <ns0:mergeCell ref="A1:E1"/>
    <ns0:mergeCell ref="A18:E18"/>
    <ns0:mergeCell ref="A3:E3"/>
  </ns0:mergeCell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worksheet>
</file>

<file path=xl/worksheets/sheet8.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F49"/>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45" customWidth="1" min="1" max="1"/>
    <ns0:col width="24" customWidth="1" min="2" max="2"/>
    <ns0:col width="20" customWidth="1" min="3" max="3"/>
    <ns0:col width="20" customWidth="1" min="4" max="4"/>
    <ns0:col width="20" customWidth="1" min="5" max="5"/>
    <ns0:col width="41" customWidth="1" min="6" max="6"/>
  </ns0:cols>
  <ns0:sheetData>
    <ns0:row r="1" ht="34.6" customHeight="1">
      <ns0:c r="A1" s="1" t="inlineStr">
        <ns0:is>
          <ns0:t>THREE-YEAR FINANCIAL ANALYSIS</ns0:t>
        </ns0:is>
      </ns0:c>
    </ns0:row>
    <ns0:row r="2" ht="32" customHeight="1">
      <ns0:c r="A2" s="3" t="inlineStr">
        <ns0:is>
          <ns0:t>Primary model: incremental cash savings. Supplemental economic result adds retained staff capacity. All outputs remain conditional on supplied inputs.</ns0:t>
        </ns0:is>
      </ns0:c>
    </ns0:row>
    <ns0:row r="3" ht="23" customHeight="1">
      <ns0:c r="A3" s="4" t="inlineStr">
        <ns0:is>
          <ns0:t>Blue cells: editable inputs | Gray: supplied data / fixed scope | Green text: formulas | Blank: unknown, never a verified zero</ns0:t>
        </ns0:is>
      </ns0:c>
    </ns0:row>
    <ns0:row r="4" ht="19" customHeight="1"/>
    <ns0:row r="5" ht="24.5" customHeight="1">
      <ns0:c r="A5" s="9" t="inlineStr">
        <ns0:is>
          <ns0:t>Analysis horizon (fixed projection)</ns0:t>
        </ns0:is>
      </ns0:c>
      <ns0:c r="B5" s="28" t="n">
        <ns0:v>3</ns0:v>
      </ns0:c>
    </ns0:row>
    <ns0:row r="6" ht="24.5" customHeight="1">
      <ns0:c r="A6" s="9" t="inlineStr">
        <ns0:is>
          <ns0:t>Annual discount rate (planning convention)</ns0:t>
        </ns0:is>
      </ns0:c>
      <ns0:c r="B6" s="16">
        <ns0:f>'Assumptions and References'!B9</ns0:f>
        <ns0:v>0.08</ns0:v>
      </ns0:c>
    </ns0:row>
    <ns0:row r="7" ht="19" customHeight="1"/>
    <ns0:row r="8" ht="32" customHeight="1">
      <ns0:c r="A8" s="8" t="inlineStr">
        <ns0:is>
          <ns0:t>Year-specific controls</ns0:t>
        </ns0:is>
      </ns0:c>
      <ns0:c r="B8" s="8" t="inlineStr">
        <ns0:is>
          <ns0:t>Year 1</ns0:t>
        </ns0:is>
      </ns0:c>
      <ns0:c r="C8" s="8" t="inlineStr">
        <ns0:is>
          <ns0:t>Year 2</ns0:t>
        </ns0:is>
      </ns0:c>
      <ns0:c r="D8" s="8" t="inlineStr">
        <ns0:is>
          <ns0:t>Year 3</ns0:t>
        </ns0:is>
      </ns0:c>
      <ns0:c r="E8" s="8" t="inlineStr"/>
      <ns0:c r="F8" s="8" t="inlineStr">
        <ns0:is>
          <ns0:t>Basis / scope</ns0:t>
        </ns0:is>
      </ns0:c>
    </ns0:row>
    <ns0:row r="9" ht="39" customHeight="1">
      <ns0:c r="A9" s="9" t="inlineStr">
        <ns0:is>
          <ns0:t>Cash benefit realization multiplier</ns0:t>
        </ns0:is>
      </ns0:c>
      <ns0:c r="B9" s="26" t="n">
        <ns0:v>1</ns0:v>
      </ns0:c>
      <ns0:c r="C9" s="26" t="n">
        <ns0:v>1</ns0:v>
      </ns0:c>
      <ns0:c r="D9" s="26" t="n">
        <ns0:v>1</ns0:v>
      </ns0:c>
      <ns0:c r="F9" s="9" t="inlineStr">
        <ns0:is>
          <ns0:t>100% = constant annual scenario, not a measured adoption or inflation forecast.</ns0:t>
        </ns0:is>
      </ns0:c>
    </ns0:row>
    <ns0:row r="10" ht="39" customHeight="1">
      <ns0:c r="A10" s="9" t="inlineStr">
        <ns0:is>
          <ns0:t>Recurring cost multiplier</ns0:t>
        </ns0:is>
      </ns0:c>
      <ns0:c r="B10" s="26" t="n">
        <ns0:v>1</ns0:v>
      </ns0:c>
      <ns0:c r="C10" s="26" t="n">
        <ns0:v>1</ns0:v>
      </ns0:c>
      <ns0:c r="D10" s="26" t="n">
        <ns0:v>1</ns0:v>
      </ns0:c>
      <ns0:c r="F10" s="9" t="inlineStr">
        <ns0:is>
          <ns0:t>100% = constant annual scenario, not a measured adoption or inflation forecast.</ns0:t>
        </ns0:is>
      </ns0:c>
    </ns0:row>
    <ns0:row r="11" ht="19" customHeight="1"/>
    <ns0:row r="12" ht="25.9" customHeight="1">
      <ns0:c r="A12" s="18" t="inlineStr">
        <ns0:is>
          <ns0:t>A. LINKED BASE-YEAR INPUTS</ns0:t>
        </ns0:is>
      </ns0:c>
    </ns0:row>
    <ns0:row r="13" ht="28" customHeight="1">
      <ns0:c r="A13" s="9" t="inlineStr">
        <ns0:is>
          <ns0:t>Total one-time investment</ns0:t>
        </ns0:is>
      </ns0:c>
      <ns0:c r="B13" s="14" t="str">
        <ns0:f>'One-Time Development Cost'!E33</ns0:f>
        <ns0:v>Insufficient Data</ns0:v>
      </ns0:c>
    </ns0:row>
    <ns0:row r="14" ht="28" customHeight="1">
      <ns0:c r="A14" s="9" t="inlineStr">
        <ns0:is>
          <ns0:t>Annual recurring system cost</ns0:t>
        </ns0:is>
      </ns0:c>
      <ns0:c r="B14" s="14" t="str">
        <ns0:f>'Recurring Costs'!E16</ns0:f>
        <ns0:v>Insufficient Data</ns0:v>
      </ns0:c>
    </ns0:row>
    <ns0:row r="15" ht="28" customHeight="1">
      <ns0:c r="A15" s="9" t="inlineStr">
        <ns0:is>
          <ns0:t>Annual cash tangible benefits</ns0:t>
        </ns0:is>
      </ns0:c>
      <ns0:c r="B15" s="14" t="str">
        <ns0:f>'Tangible Benefits Worksheet'!E42</ns0:f>
        <ns0:v>Insufficient Data</ns0:v>
      </ns0:c>
    </ns0:row>
    <ns0:row r="16" ht="28" customHeight="1">
      <ns0:c r="A16" s="9" t="inlineStr">
        <ns0:is>
          <ns0:t>Annual retained productivity value (noncash)</ns0:t>
        </ns0:is>
      </ns0:c>
      <ns0:c r="B16" s="14" t="str">
        <ns0:f>'Tangible Benefits Worksheet'!E43</ns0:f>
        <ns0:v>Insufficient Data</ns0:v>
      </ns0:c>
    </ns0:row>
    <ns0:row r="17" ht="28" customHeight="1">
      <ns0:c r="A17" s="9" t="inlineStr">
        <ns0:is>
          <ns0:t>Annual net cash benefit</ns0:t>
        </ns0:is>
      </ns0:c>
      <ns0:c r="B17" s="14" t="str">
        <ns0:f>IF(COUNT(B15,B14)=2,B15-B14,"Insufficient Data")</ns0:f>
        <ns0:v>Insufficient Data</ns0:v>
      </ns0:c>
    </ns0:row>
    <ns0:row r="18" ht="19" customHeight="1"/>
    <ns0:row r="19" ht="25.9" customHeight="1">
      <ns0:c r="A19" s="18" t="inlineStr">
        <ns0:is>
          <ns0:t>B. CASH FLOW AT YEAR END; INITIAL INVESTMENT AT YEAR 0</ns0:t>
        </ns0:is>
      </ns0:c>
    </ns0:row>
    <ns0:row r="20" ht="32" customHeight="1">
      <ns0:c r="A20" s="8" t="inlineStr">
        <ns0:is>
          <ns0:t>Cash flow measure</ns0:t>
        </ns0:is>
      </ns0:c>
      <ns0:c r="B20" s="8" t="inlineStr">
        <ns0:is>
          <ns0:t>Year 0</ns0:t>
        </ns0:is>
      </ns0:c>
      <ns0:c r="C20" s="8" t="inlineStr">
        <ns0:is>
          <ns0:t>Year 1</ns0:t>
        </ns0:is>
      </ns0:c>
      <ns0:c r="D20" s="8" t="inlineStr">
        <ns0:is>
          <ns0:t>Year 2</ns0:t>
        </ns0:is>
      </ns0:c>
      <ns0:c r="E20" s="8" t="inlineStr">
        <ns0:is>
          <ns0:t>Year 3</ns0:t>
        </ns0:is>
      </ns0:c>
      <ns0:c r="F20" s="8" t="inlineStr">
        <ns0:is>
          <ns0:t>Interpretation</ns0:t>
        </ns0:is>
      </ns0:c>
    </ns0:row>
    <ns0:row r="21" ht="24.5" customHeight="1">
      <ns0:c r="A21" s="9" t="inlineStr">
        <ns0:is>
          <ns0:t>Annual tangible cash benefits</ns0:t>
        </ns0:is>
      </ns0:c>
      <ns0:c r="B21" s="27" t="n">
        <ns0:v>0</ns0:v>
      </ns0:c>
      <ns0:c r="C21" s="14" t="str">
        <ns0:f>IF(ISNUMBER($B$15),$B$15*B9,"Insufficient Data")</ns0:f>
        <ns0:v>Insufficient Data</ns0:v>
      </ns0:c>
      <ns0:c r="D21" s="14" t="str">
        <ns0:f>IF(ISNUMBER($B$15),$B$15*C9,"Insufficient Data")</ns0:f>
        <ns0:v>Insufficient Data</ns0:v>
      </ns0:c>
      <ns0:c r="E21" s="14" t="str">
        <ns0:f>IF(ISNUMBER($B$15),$B$15*D9,"Insufficient Data")</ns0:f>
        <ns0:v>Insufficient Data</ns0:v>
      </ns0:c>
    </ns0:row>
    <ns0:row r="22" ht="24.5" customHeight="1">
      <ns0:c r="A22" s="9" t="inlineStr">
        <ns0:is>
          <ns0:t>Recurring system cash cost</ns0:t>
        </ns0:is>
      </ns0:c>
      <ns0:c r="B22" s="27" t="n">
        <ns0:v>0</ns0:v>
      </ns0:c>
      <ns0:c r="C22" s="14" t="str">
        <ns0:f>IF(ISNUMBER($B$14),$B$14*B10,"Insufficient Data")</ns0:f>
        <ns0:v>Insufficient Data</ns0:v>
      </ns0:c>
      <ns0:c r="D22" s="14" t="str">
        <ns0:f>IF(ISNUMBER($B$14),$B$14*C10,"Insufficient Data")</ns0:f>
        <ns0:v>Insufficient Data</ns0:v>
      </ns0:c>
      <ns0:c r="E22" s="14" t="str">
        <ns0:f>IF(ISNUMBER($B$14),$B$14*D10,"Insufficient Data")</ns0:f>
        <ns0:v>Insufficient Data</ns0:v>
      </ns0:c>
    </ns0:row>
    <ns0:row r="23" ht="24.5" customHeight="1">
      <ns0:c r="A23" s="9" t="inlineStr">
        <ns0:is>
          <ns0:t>One-time investment</ns0:t>
        </ns0:is>
      </ns0:c>
      <ns0:c r="B23" s="14" t="str">
        <ns0:f>B13</ns0:f>
        <ns0:v>Insufficient Data</ns0:v>
      </ns0:c>
      <ns0:c r="C23" s="27" t="n">
        <ns0:v>0</ns0:v>
      </ns0:c>
      <ns0:c r="D23" s="27" t="n">
        <ns0:v>0</ns0:v>
      </ns0:c>
      <ns0:c r="E23" s="27" t="n">
        <ns0:v>0</ns0:v>
      </ns0:c>
    </ns0:row>
    <ns0:row r="24" ht="29" customHeight="1">
      <ns0:c r="A24" s="9" t="inlineStr">
        <ns0:is>
          <ns0:t>Net cash flow</ns0:t>
        </ns0:is>
      </ns0:c>
      <ns0:c r="B24" s="14" t="str">
        <ns0:f>IF(COUNT(B21:B23)=3,B21-B22-B23,"Insufficient Data")</ns0:f>
        <ns0:v>Insufficient Data</ns0:v>
      </ns0:c>
      <ns0:c r="C24" s="14" t="str">
        <ns0:f>IF(COUNT(C21:C23)=3,C21-C22-C23,"Insufficient Data")</ns0:f>
        <ns0:v>Insufficient Data</ns0:v>
      </ns0:c>
      <ns0:c r="D24" s="14" t="str">
        <ns0:f>IF(COUNT(D21:D23)=3,D21-D22-D23,"Insufficient Data")</ns0:f>
        <ns0:v>Insufficient Data</ns0:v>
      </ns0:c>
      <ns0:c r="E24" s="14" t="str">
        <ns0:f>IF(COUNT(E21:E23)=3,E21-E22-E23,"Insufficient Data")</ns0:f>
        <ns0:v>Insufficient Data</ns0:v>
      </ns0:c>
    </ns0:row>
    <ns0:row r="25" ht="24.5" customHeight="1">
      <ns0:c r="A25" s="9" t="inlineStr">
        <ns0:is>
          <ns0:t>Cumulative cash flow</ns0:t>
        </ns0:is>
      </ns0:c>
      <ns0:c r="B25" s="14" t="str">
        <ns0:f>B24</ns0:f>
        <ns0:v>Insufficient Data</ns0:v>
      </ns0:c>
      <ns0:c r="C25" s="14" t="str">
        <ns0:f>IF(COUNT(B25,C24)=2,SUM(B25,C24),"Insufficient Data")</ns0:f>
        <ns0:v>Insufficient Data</ns0:v>
      </ns0:c>
      <ns0:c r="D25" s="14" t="str">
        <ns0:f>IF(COUNT(C25,D24)=2,SUM(C25,D24),"Insufficient Data")</ns0:f>
        <ns0:v>Insufficient Data</ns0:v>
      </ns0:c>
      <ns0:c r="E25" s="14" t="str">
        <ns0:f>IF(COUNT(D25,E24)=2,SUM(D25,E24),"Insufficient Data")</ns0:f>
        <ns0:v>Insufficient Data</ns0:v>
      </ns0:c>
    </ns0:row>
    <ns0:row r="26" ht="24.5" customHeight="1">
      <ns0:c r="A26" s="9" t="inlineStr">
        <ns0:is>
          <ns0:t>Discount factor</ns0:t>
        </ns0:is>
      </ns0:c>
      <ns0:c r="B26" s="29">
        <ns0:f>1/(1+$B$6)^0</ns0:f>
        <ns0:v>1.0</ns0:v>
      </ns0:c>
      <ns0:c r="C26" s="29">
        <ns0:f>1/(1+$B$6)^1</ns0:f>
        <ns0:v>0.9259259259259258</ns0:v>
      </ns0:c>
      <ns0:c r="D26" s="29">
        <ns0:f>1/(1+$B$6)^2</ns0:f>
        <ns0:v>0.8573388203017832</ns0:v>
      </ns0:c>
      <ns0:c r="E26" s="29">
        <ns0:f>1/(1+$B$6)^3</ns0:f>
        <ns0:v>0.7938322410201696</ns0:v>
      </ns0:c>
    </ns0:row>
    <ns0:row r="27" ht="24.5" customHeight="1">
      <ns0:c r="A27" s="9" t="inlineStr">
        <ns0:is>
          <ns0:t>Present value of net cash flow</ns0:t>
        </ns0:is>
      </ns0:c>
      <ns0:c r="B27" s="14" t="str">
        <ns0:f>IF(ISNUMBER(B24),B24*B26,"Insufficient Data")</ns0:f>
        <ns0:v>Insufficient Data</ns0:v>
      </ns0:c>
      <ns0:c r="C27" s="14" t="str">
        <ns0:f>IF(ISNUMBER(C24),C24*C26,"Insufficient Data")</ns0:f>
        <ns0:v>Insufficient Data</ns0:v>
      </ns0:c>
      <ns0:c r="D27" s="14" t="str">
        <ns0:f>IF(ISNUMBER(D24),D24*D26,"Insufficient Data")</ns0:f>
        <ns0:v>Insufficient Data</ns0:v>
      </ns0:c>
      <ns0:c r="E27" s="14" t="str">
        <ns0:f>IF(ISNUMBER(E24),E24*E26,"Insufficient Data")</ns0:f>
        <ns0:v>Insufficient Data</ns0:v>
      </ns0:c>
    </ns0:row>
    <ns0:row r="28" ht="19" customHeight="1"/>
    <ns0:row r="29" ht="30" customHeight="1">
      <ns0:c r="A29" s="30" t="inlineStr">
        <ns0:is>
          <ns0:t>Core financial results include no automatic value for 463 gaps. Benefits and recurring costs are linked once. Negative savings remain negative.</ns0:t>
        </ns0:is>
      </ns0:c>
    </ns0:row>
    <ns0:row r="30" ht="19" customHeight="1"/>
    <ns0:row r="31" ht="25.9" customHeight="1">
      <ns0:c r="A31" s="18" t="inlineStr">
        <ns0:is>
          <ns0:t>C. CASH INVESTMENT RESULTS</ns0:t>
        </ns0:is>
      </ns0:c>
    </ns0:row>
    <ns0:row r="32" ht="31" customHeight="1">
      <ns0:c r="A32" s="9" t="inlineStr">
        <ns0:is>
          <ns0:t>Three-year undiscounted cash benefits</ns0:t>
        </ns0:is>
      </ns0:c>
      <ns0:c r="B32" s="14" t="str">
        <ns0:f>IF(COUNT(C21,D21,E21)=3,SUM(C21,D21,E21),"Insufficient Data")</ns0:f>
        <ns0:v>Insufficient Data</ns0:v>
      </ns0:c>
    </ns0:row>
    <ns0:row r="33" ht="31" customHeight="1">
      <ns0:c r="A33" s="9" t="inlineStr">
        <ns0:is>
          <ns0:t>Three-year total cost incl. initial investment</ns0:t>
        </ns0:is>
      </ns0:c>
      <ns0:c r="B33" s="14" t="str">
        <ns0:f>IF(COUNT(B13,C22,D22,E22)=4,SUM(B13,C22,D22,E22),"Insufficient Data")</ns0:f>
        <ns0:v>Insufficient Data</ns0:v>
      </ns0:c>
    </ns0:row>
    <ns0:row r="34" ht="31" customHeight="1">
      <ns0:c r="A34" s="9" t="inlineStr">
        <ns0:is>
          <ns0:t>Three-year ROI</ns0:t>
        </ns0:is>
      </ns0:c>
      <ns0:c r="B34" s="16" t="str">
        <ns0:f>IF(COUNT(B13,C24:E24)=4,IF(B13&gt;0,(SUM(C24:E24)-B13)/B13,"Not applicable: zero investment"),"Insufficient Data")</ns0:f>
        <ns0:v>Insufficient Data</ns0:v>
      </ns0:c>
    </ns0:row>
    <ns0:row r="35" ht="31" customHeight="1">
      <ns0:c r="A35" s="9" t="inlineStr">
        <ns0:is>
          <ns0:t>Discounted benefit-cost ratio</ns0:t>
        </ns0:is>
      </ns0:c>
      <ns0:c r="B35" s="31" t="str">
        <ns0:f>IF(COUNT(B13,C21:E22)=7,IF(B13+C22*C26+D22*D26+E22*E26&gt;0,(C21*C26+D21*D26+E21*E26)/(B13+C22*C26+D22*D26+E22*E26),"Not applicable: zero cost"),"Insufficient Data")</ns0:f>
        <ns0:v>Insufficient Data</ns0:v>
      </ns0:c>
    </ns0:row>
    <ns0:row r="36" ht="31" customHeight="1">
      <ns0:c r="A36" s="9" t="inlineStr">
        <ns0:is>
          <ns0:t>Cash NPV</ns0:t>
        </ns0:is>
      </ns0:c>
      <ns0:c r="B36" s="14" t="str">
        <ns0:f>IF(COUNT(B24:E24)=4,SUM(B27:E27),"Insufficient Data")</ns0:f>
        <ns0:v>Insufficient Data</ns0:v>
      </ns0:c>
    </ns0:row>
    <ns0:row r="37" ht="31" customHeight="1">
      <ns0:c r="A37" s="9" t="inlineStr">
        <ns0:is>
          <ns0:t>Payback period (years)</ns0:t>
        </ns0:is>
      </ns0:c>
      <ns0:c r="B37" s="32" t="str">
        <ns0:f>IF(COUNT(B13,C24:E24)=4,IF(B13=0,0,IF(AND(C24=D24,D24=E24,C24&gt;0),IF(B13/C24&lt;=3,B13/C24,"Not recovered in 3 years"),IF(C25&gt;=0,B13/C24,IF(D25&gt;=0,1-C25/D24,IF(E25&gt;=0,2-D25/E24,"Not recovered in 3 years"))))),"Insufficient Data")</ns0:f>
        <ns0:v>Insufficient Data</ns0:v>
      </ns0:c>
    </ns0:row>
    <ns0:row r="38" ht="31" customHeight="1">
      <ns0:c r="A38" s="9" t="inlineStr">
        <ns0:is>
          <ns0:t>Year 3 cumulative net cash result</ns0:t>
        </ns0:is>
      </ns0:c>
      <ns0:c r="B38" s="14" t="str">
        <ns0:f>E25</ns0:f>
        <ns0:v>Insufficient Data</ns0:v>
      </ns0:c>
    </ns0:row>
    <ns0:row r="39" ht="31" customHeight="1">
      <ns0:c r="A39" s="9" t="inlineStr">
        <ns0:is>
          <ns0:t>Required level annual cash benefit (zero NPV)</ns0:t>
        </ns0:is>
      </ns0:c>
      <ns0:c r="B39" s="14" t="str">
        <ns0:f>IF(COUNT(B13,B14)=2,B14+B13/SUM(C26:E26),"Insufficient Data")</ns0:f>
        <ns0:v>Insufficient Data</ns0:v>
      </ns0:c>
    </ns0:row>
    <ns0:row r="40" ht="39" customHeight="1">
      <ns0:c r="A40" s="9" t="inlineStr">
        <ns0:is>
          <ns0:t>Required level annual cash benefit (3-year payback)</ns0:t>
        </ns0:is>
      </ns0:c>
      <ns0:c r="B40" s="14" t="str">
        <ns0:f>IF(COUNT(B13,B14)=2,B14+B13/3,"Insufficient Data")</ns0:f>
        <ns0:v>Insufficient Data</ns0:v>
      </ns0:c>
    </ns0:row>
    <ns0:row r="41" ht="19" customHeight="1"/>
    <ns0:row r="42" ht="39" customHeight="1">
      <ns0:c r="A42" s="6" t="inlineStr">
        <ns0:is>
          <ns0:t>ROI = (sum of operating net benefits in Years 1–3 − initial investment) / initial investment. Discounted BCR = PV cash benefits / (initial investment + PV recurring costs). NPV discounts year-end flows.</ns0:t>
        </ns0:is>
      </ns0:c>
    </ns0:row>
    <ns0:row r="43" ht="19" customHeight="1"/>
    <ns0:row r="44" ht="40" customHeight="1">
      <ns0:c r="A44" s="6" t="inlineStr">
        <ns0:is>
          <ns0:t>Payback assumes net benefits accrue evenly within each year. Constant positive flow uses investment / annual net benefit; variable flow uses the first cumulative crossing. No recovery within the horizon is reported explicitly.</ns0:t>
        </ns0:is>
      </ns0:c>
    </ns0:row>
    <ns0:row r="45" ht="19" customHeight="1"/>
    <ns0:row r="46" ht="25.9" customHeight="1">
      <ns0:c r="A46" s="18" t="inlineStr">
        <ns0:is>
          <ns0:t>D. SUPPLEMENTAL ECONOMIC VIEW — NOT CASH FLOW</ns0:t>
        </ns0:is>
      </ns0:c>
    </ns0:row>
    <ns0:row r="47" ht="24.5" customHeight="1">
      <ns0:c r="A47" s="9" t="inlineStr">
        <ns0:is>
          <ns0:t>Productivity-inclusive NPV</ns0:t>
        </ns0:is>
      </ns0:c>
      <ns0:c r="B47" s="14" t="str">
        <ns0:f>IF(COUNT(B36,B16)=2,B36+B16*(B9*C26+C9*D26+D9*E26),"Insufficient Data")</ns0:f>
        <ns0:v>Insufficient Data</ns0:v>
      </ns0:c>
    </ns0:row>
    <ns0:row r="48" ht="19" customHeight="1"/>
    <ns0:row r="49" ht="39" customHeight="1">
      <ns0:c r="A49" s="6" t="inlineStr">
        <ns0:is>
          <ns0:t>Economic NPV adds retained capacity after excluding any portion already credited to payroll cash savings. It is not cash ROI. No terminal resale value, tax effect, price escalation, financing charge or confirmed equipment saving is assumed.</ns0:t>
        </ns0:is>
      </ns0:c>
    </ns0:row>
  </ns0:sheetData>
  <ns0:mergeCells count="11">
    <ns0:mergeCell ref="A2:F2"/>
    <ns0:mergeCell ref="A49:F49"/>
    <ns0:mergeCell ref="A42:F42"/>
    <ns0:mergeCell ref="A46:F46"/>
    <ns0:mergeCell ref="A19:F19"/>
    <ns0:mergeCell ref="A44:F44"/>
    <ns0:mergeCell ref="A1:F1"/>
    <ns0:mergeCell ref="A31:F31"/>
    <ns0:mergeCell ref="A12:F12"/>
    <ns0:mergeCell ref="A3:F3"/>
    <ns0:mergeCell ref="A29:F29"/>
  </ns0:mergeCells>
  <ns0:dataValidations count="1">
    <ns0:dataValidation sqref="B9:D10" showDropDown="0" showInputMessage="0" showErrorMessage="1" allowBlank="1" error="Enter a non-negative number." type="decimal" errorStyle="stop" operator="between">
      <ns0:formula1>0</ns0:formula1>
      <ns0:formula2>1000000000</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2" manualBreakCount="2">
    <ns0:brk id="29" min="0" max="16383" man="1"/>
    <ns0:brk id="45" min="0" max="16383" man="1"/>
  </ns0:rowBreaks>
  <ns0:legacyDrawing ns1:id="anysvml"/>
</ns0:worksheet>
</file>

<file path=xl/worksheets/sheet9.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D49"/>
  <ns0:sheetViews>
    <ns0:sheetView showGridLines="0" zoomScale="85" workbookViewId="0">
      <ns0:pane xSplit="2" ySplit="6" topLeftCell="C7" activePane="bottomRight" state="frozen"/>
      <ns0:selection pane="topRight" activeCell="A1" sqref="A1"/>
      <ns0:selection pane="bottomLeft" activeCell="A1" sqref="A1"/>
      <ns0:selection pane="bottomRight" activeCell="A1" sqref="A1"/>
    </ns0:sheetView>
  </ns0:sheetViews>
  <ns0:sheetFormatPr baseColWidth="8" defaultRowHeight="15"/>
  <ns0:cols>
    <ns0:col width="36" customWidth="1" min="1" max="1"/>
    <ns0:col width="25" customWidth="1" min="2" max="2"/>
    <ns0:col width="26" customWidth="1" min="3" max="3"/>
    <ns0:col width="70" customWidth="1" min="4" max="4"/>
  </ns0:cols>
  <ns0:sheetData>
    <ns0:row r="1" ht="34.6" customHeight="1">
      <ns0:c r="A1" s="1" t="inlineStr">
        <ns0:is>
          <ns0:t>ASSUMPTIONS AND REFERENCES</ns0:t>
        </ns0:is>
      </ns0:c>
    </ns0:row>
    <ns0:row r="2" ht="32" customHeight="1">
      <ns0:c r="A2" s="3" t="inlineStr">
        <ns0:is>
          <ns0:t>Read this sheet first. Confirmed inventory facts are separated from estimates, unknowns and modelling conventions.</ns0:t>
        </ns0:is>
      </ns0:c>
    </ns0:row>
    <ns0:row r="3" ht="23" customHeight="1">
      <ns0:c r="A3" s="4" t="inlineStr">
        <ns0:is>
          <ns0:t>Blue cells: editable inputs | Gray: supplied data / fixed scope | Green text: formulas | Blank: unknown, never a verified zero</ns0:t>
        </ns0:is>
      </ns0:c>
    </ns0:row>
    <ns0:row r="4" ht="19" customHeight="1"/>
    <ns0:row r="5" ht="32" customHeight="1">
      <ns0:c r="A5" s="8" t="inlineStr">
        <ns0:is>
          <ns0:t>Item</ns0:t>
        </ns0:is>
      </ns0:c>
      <ns0:c r="B5" s="8" t="inlineStr">
        <ns0:is>
          <ns0:t>Value / input</ns0:t>
        </ns0:is>
      </ns0:c>
      <ns0:c r="C5" s="8" t="inlineStr">
        <ns0:is>
          <ns0:t>Evidence class</ns0:t>
        </ns0:is>
      </ns0:c>
      <ns0:c r="D5" s="8" t="inlineStr">
        <ns0:is>
          <ns0:t>Basis / limitation</ns0:t>
        </ns0:is>
      </ns0:c>
    </ns0:row>
    <ns0:row r="6" ht="45" customHeight="1">
      <ns0:c r="A6" s="9" t="inlineStr">
        <ns0:is>
          <ns0:t>Prepared date</ns0:t>
        </ns0:is>
      </ns0:c>
      <ns0:c r="B6" s="9" t="inlineStr">
        <ns0:is>
          <ns0:t>24 October 2026</ns0:t>
        </ns0:is>
      </ns0:c>
      <ns0:c r="C6" s="9" t="inlineStr">
        <ns0:is>
          <ns0:t>Document date</ns0:t>
        </ns0:is>
      </ns0:c>
      <ns0:c r="D6" s="9" t="inlineStr">
        <ns0:is>
          <ns0:t>Asia/Manila; source worksheet date not supplied.</ns0:t>
        </ns0:is>
      </ns0:c>
    </ns0:row>
    <ns0:row r="7" ht="45" customHeight="1">
      <ns0:c r="A7" s="9" t="inlineStr">
        <ns0:is>
          <ns0:t>Currency</ns0:t>
        </ns0:is>
      </ns0:c>
      <ns0:c r="B7" s="9" t="inlineStr">
        <ns0:is>
          <ns0:t>PHP / Philippine Peso</ns0:t>
        </ns0:is>
      </ns0:c>
      <ns0:c r="C7" s="9" t="inlineStr">
        <ns0:is>
          <ns0:t>Display convention</ns0:t>
        </ns0:is>
      </ns0:c>
      <ns0:c r="D7" s="9" t="inlineStr">
        <ns0:is>
          <ns0:t>No foreign exchange assumption needed; request local quotations.</ns0:t>
        </ns0:is>
      </ns0:c>
    </ns0:row>
    <ns0:row r="8" ht="45" customHeight="1">
      <ns0:c r="A8" s="9" t="inlineStr">
        <ns0:is>
          <ns0:t>Development duration (calendar months)</ns0:t>
        </ns0:is>
      </ns0:c>
      <ns0:c r="B8" s="15" t="n">
        <ns0:v>3</ns0:v>
      </ns0:c>
      <ns0:c r="C8" s="9" t="inlineStr">
        <ns0:is>
          <ns0:t>Editable planning assumption</ns0:t>
        </ns0:is>
      </ns0:c>
      <ns0:c r="D8" s="9" t="inlineStr">
        <ns0:is>
          <ns0:t>Academic three-month planning window only; not actual elapsed development effort. Person-months must be supplied separately.</ns0:t>
        </ns0:is>
      </ns0:c>
    </ns0:row>
    <ns0:row r="9" ht="45" customHeight="1">
      <ns0:c r="A9" s="9" t="inlineStr">
        <ns0:is>
          <ns0:t>Annual discount rate</ns0:t>
        </ns0:is>
      </ns0:c>
      <ns0:c r="B9" s="33" t="n">
        <ns0:v>0.08</ns0:v>
      </ns0:c>
      <ns0:c r="C9" s="9" t="inlineStr">
        <ns0:is>
          <ns0:t>Editable modelling convention</ns0:t>
        </ns0:is>
      </ns0:c>
      <ns0:c r="D9" s="9" t="inlineStr">
        <ns0:is>
          <ns0:t>8% is an illustrative sensitivity input, not a company hurdle rate or market quote. Replace with an approved rate.</ns0:t>
        </ns0:is>
      </ns0:c>
    </ns0:row>
    <ns0:row r="10" ht="45" customHeight="1">
      <ns0:c r="A10" s="9" t="inlineStr">
        <ns0:is>
          <ns0:t>Analysis horizon</ns0:t>
        </ns0:is>
      </ns0:c>
      <ns0:c r="B10" s="9" t="n">
        <ns0:v>3</ns0:v>
      </ns0:c>
      <ns0:c r="C10" s="9" t="inlineStr">
        <ns0:is>
          <ns0:t>Fixed model scope</ns0:t>
        </ns0:is>
      </ns0:c>
      <ns0:c r="D10" s="9" t="inlineStr">
        <ns0:is>
          <ns0:t>Years 1–3 plus Year 0. Set year multipliers in Financial Analysis; no escalation assumed.</ns0:t>
        </ns0:is>
      </ns0:c>
    </ns0:row>
    <ns0:row r="11" ht="45" customHeight="1">
      <ns0:c r="A11" s="9" t="inlineStr">
        <ns0:is>
          <ns0:t>Financial inputs at preparation</ns0:t>
        </ns0:is>
      </ns0:c>
      <ns0:c r="B11" s="9" t="inlineStr">
        <ns0:is>
          <ns0:t>Not supplied</ns0:t>
        </ns0:is>
      </ns0:c>
      <ns0:c r="C11" s="9" t="inlineStr">
        <ns0:is>
          <ns0:t>Unknown</ns0:t>
        </ns0:is>
      </ns0:c>
      <ns0:c r="D11" s="9" t="inlineStr">
        <ns0:is>
          <ns0:t>No rates, supplier quotes, measured task times, approved cash reductions or confirmed loss history supplied.</ns0:t>
        </ns0:is>
      </ns0:c>
    </ns0:row>
    <ns0:row r="12" ht="45" customHeight="1">
      <ns0:c r="A12" s="9" t="inlineStr">
        <ns0:is>
          <ns0:t>Recorded equipment units</ns0:t>
        </ns0:is>
      </ns0:c>
      <ns0:c r="B12" s="9" t="n">
        <ns0:v>758</ns0:v>
      </ns0:c>
      <ns0:c r="C12" s="9" t="inlineStr">
        <ns0:is>
          <ns0:t>Supplied quantity</ns0:t>
        </ns0:is>
      </ns0:c>
      <ns0:c r="D12" s="9" t="inlineStr">
        <ns0:is>
          <ns0:t>26 populated categories. Mixed units are not equivalent economic assets.</ns0:t>
        </ns0:is>
      </ns0:c>
    </ns0:row>
    <ns0:row r="13" ht="45" customHeight="1">
      <ns0:c r="A13" s="9" t="inlineStr">
        <ns0:is>
          <ns0:t>Reported missing / no-report units</ns0:t>
        </ns0:is>
      </ns0:c>
      <ns0:c r="B13" s="9" t="n">
        <ns0:v>463</ns0:v>
      </ns0:c>
      <ns0:c r="C13" s="9" t="inlineStr">
        <ns0:is>
          <ns0:t>Supplied reconciliation gap</ns0:t>
        </ns0:is>
      </ns0:c>
      <ns0:c r="D13" s="9" t="inlineStr">
        <ns0:is>
          <ns0:t>Three supplied gaps: 19 + 75 + 369. No conclusion of theft, physical loss or automatic recovery.</ns0:t>
        </ns0:is>
      </ns0:c>
    </ns0:row>
    <ns0:row r="14" ht="45" customHeight="1">
      <ns0:c r="A14" s="9" t="inlineStr">
        <ns0:is>
          <ns0:t>Required units in flagged categories</ns0:t>
        </ns0:is>
      </ns0:c>
      <ns0:c r="B14" s="9" t="n">
        <ns0:v>852</ns0:v>
      </ns0:c>
      <ns0:c r="C14" s="9" t="inlineStr">
        <ns0:is>
          <ns0:t>Supplied partial coverage</ns0:t>
        </ns0:is>
      </ns0:c>
      <ns0:c r="D14" s="9" t="inlineStr">
        <ns0:is>
          <ns0:t>42 + 300 + 510. Requirements for the remaining 23 categories were not supplied.</ns0:t>
        </ns0:is>
      </ns0:c>
    </ns0:row>
    <ns0:row r="15" ht="45" customHeight="1">
      <ns0:c r="A15" s="9" t="inlineStr">
        <ns0:is>
          <ns0:t>Labour rates and task times</ns0:t>
        </ns0:is>
      </ns0:c>
      <ns0:c r="B15" s="9" t="inlineStr">
        <ns0:is>
          <ns0:t>Not supplied</ns0:t>
        </ns0:is>
      </ns0:c>
      <ns0:c r="C15" s="9" t="inlineStr">
        <ns0:is>
          <ns0:t>Unknown</ns0:t>
        </ns0:is>
      </ns0:c>
      <ns0:c r="D15" s="9" t="inlineStr">
        <ns0:is>
          <ns0:t>Use timesheets and approved pay / contractor rates. No employee headcount reduction assumed.</ns0:t>
        </ns0:is>
      </ns0:c>
    </ns0:row>
    <ns0:row r="16" ht="45" customHeight="1">
      <ns0:c r="A16" s="9" t="inlineStr">
        <ns0:is>
          <ns0:t>Hosting, database and storage</ns0:t>
        </ns0:is>
      </ns0:c>
      <ns0:c r="B16" s="9" t="inlineStr">
        <ns0:is>
          <ns0:t>Not supplied</ns0:t>
        </ns0:is>
      </ns0:c>
      <ns0:c r="C16" s="9" t="inlineStr">
        <ns0:is>
          <ns0:t>Unknown</ns0:t>
        </ns0:is>
      </ns0:c>
      <ns0:c r="D16" s="9" t="inlineStr">
        <ns0:is>
          <ns0:t>Supabase-backed code does not identify the paid plan, actual usage, free capacity or incremental provider bill.</ns0:t>
        </ns0:is>
      </ns0:c>
    </ns0:row>
    <ns0:row r="17" ht="45" customHeight="1">
      <ns0:c r="A17" s="9" t="inlineStr">
        <ns0:is>
          <ns0:t>Equipment unit replacement prices</ns0:t>
        </ns0:is>
      </ns0:c>
      <ns0:c r="B17" s="9" t="inlineStr">
        <ns0:is>
          <ns0:t>Not supplied</ns0:t>
        </ns0:is>
      </ns0:c>
      <ns0:c r="C17" s="9" t="inlineStr">
        <ns0:is>
          <ns0:t>Unknown</ns0:t>
        </ns0:is>
      </ns0:c>
      <ns0:c r="D17" s="9" t="inlineStr">
        <ns0:is>
          <ns0:t>Blue price/source fields remain blank. Use dated local supplier quotes matching specifications, tax and delivery basis.</ns0:t>
        </ns0:is>
      </ns0:c>
    </ns0:row>
    <ns0:row r="18" ht="45" customHeight="1">
      <ns0:c r="A18" s="9" t="inlineStr">
        <ns0:is>
          <ns0:t>Payroll cash realization</ns0:t>
        </ns0:is>
      </ns0:c>
      <ns0:c r="B18" s="9" t="n">
        <ns0:v>0</ns0:v>
      </ns0:c>
      <ns0:c r="C18" s="9" t="inlineStr">
        <ns0:is>
          <ns0:t>Default model exclusion</ns0:t>
        </ns0:is>
      </ns0:c>
      <ns0:c r="D18" s="9" t="inlineStr">
        <ns0:is>
          <ns0:t>0% of productivity value credited to cash savings until a corresponding cash expense can be shown to decline.</ns0:t>
        </ns0:is>
      </ns0:c>
    </ns0:row>
    <ns0:row r="19" ht="45" customHeight="1">
      <ns0:c r="A19" s="9" t="inlineStr">
        <ns0:is>
          <ns0:t>Equipment cost-avoidance credit</ns0:t>
        </ns0:is>
      </ns0:c>
      <ns0:c r="B19" s="9" t="n">
        <ns0:v>0</ns0:v>
      </ns0:c>
      <ns0:c r="C19" s="9" t="inlineStr">
        <ns0:is>
          <ns0:t>Default model exclusion</ns0:t>
        </ns0:is>
      </ns0:c>
      <ns0:c r="D19" s="9" t="inlineStr">
        <ns0:is>
          <ns0:t>Equipment replacement and duplicate-procurement claims excluded until supported by disjoint annual evidence.</ns0:t>
        </ns0:is>
      </ns0:c>
    </ns0:row>
    <ns0:row r="20" ht="45" customHeight="1">
      <ns0:c r="A20" s="9" t="inlineStr">
        <ns0:is>
          <ns0:t>Task staffing default</ns0:t>
        </ns0:is>
      </ns0:c>
      <ns0:c r="B20" s="9" t="n">
        <ns0:v>1</ns0:v>
      </ns0:c>
      <ns0:c r="C20" s="9" t="inlineStr">
        <ns0:is>
          <ns0:t>Editable modelling convention</ns0:t>
        </ns0:is>
      </ns0:c>
      <ns0:c r="D20" s="9" t="inlineStr">
        <ns0:is>
          <ns0:t>One person per activity is a placeholder, not actual company staffing. Confirm for both workflows.</ns0:t>
        </ns0:is>
      </ns0:c>
    </ns0:row>
    <ns0:row r="21" ht="45" customHeight="1">
      <ns0:c r="A21" s="9" t="inlineStr">
        <ns0:is>
          <ns0:t>Weekly report frequency default</ns0:t>
        </ns0:is>
      </ns0:c>
      <ns0:c r="B21" s="9" t="n">
        <ns0:v>52</ns0:v>
      </ns0:c>
      <ns0:c r="C21" s="9" t="inlineStr">
        <ns0:is>
          <ns0:t>Editable planning convention</ns0:t>
        </ns0:is>
      </ns0:c>
      <ns0:c r="D21" s="9" t="inlineStr">
        <ns0:is>
          <ns0:t>PRODUCT.md specifies a weekly report; 52 cycles assumes one full operating year. Actual reporting calendar remains to confirm.</ns0:t>
        </ns0:is>
      </ns0:c>
    </ns0:row>
    <ns0:row r="22" ht="45" customHeight="1">
      <ns0:c r="A22" s="9" t="inlineStr">
        <ns0:is>
          <ns0:t>Billing frequencies</ns0:t>
        </ns0:is>
      </ns0:c>
      <ns0:c r="B22" s="9" t="inlineStr">
        <ns0:is>
          <ns0:t>12 monthly / 1 annual</ns0:t>
        </ns0:is>
      </ns0:c>
      <ns0:c r="C22" s="9" t="inlineStr">
        <ns0:is>
          <ns0:t>Editable modelling convention</ns0:t>
        </ns0:is>
      </ns0:c>
      <ns0:c r="D22" s="9" t="inlineStr">
        <ns0:is>
          <ns0:t>These are unit conversions only, not actual purchased services. Verify each line.</ns0:t>
        </ns0:is>
      </ns0:c>
    </ns0:row>
    <ns0:row r="23" ht="45" customHeight="1">
      <ns0:c r="A23" s="9" t="inlineStr">
        <ns0:is>
          <ns0:t>Cash model boundary</ns0:t>
        </ns0:is>
      </ns0:c>
      <ns0:c r="B23" s="9" t="inlineStr">
        <ns0:is>
          <ns0:t>Incremental cash savings</ns0:t>
        </ns0:is>
      </ns0:c>
      <ns0:c r="C23" s="9" t="inlineStr">
        <ns0:is>
          <ns0:t>Analysis policy</ns0:t>
        </ns0:is>
      </ns0:c>
      <ns0:c r="D23" s="9" t="inlineStr">
        <ns0:is>
          <ns0:t>Admin cash reduction plus evidenced payroll and equipment saving, less recurring system cost once.</ns0:t>
        </ns0:is>
      </ns0:c>
    </ns0:row>
    <ns0:row r="24" ht="45" customHeight="1">
      <ns0:c r="A24" s="9" t="inlineStr">
        <ns0:is>
          <ns0:t>Economic model boundary</ns0:t>
        </ns0:is>
      </ns0:c>
      <ns0:c r="B24" s="9" t="inlineStr">
        <ns0:is>
          <ns0:t>Cash + retained capacity</ns0:t>
        </ns0:is>
      </ns0:c>
      <ns0:c r="C24" s="9" t="inlineStr">
        <ns0:is>
          <ns0:t>Supplemental only</ns0:t>
        </ns0:is>
      </ns0:c>
      <ns0:c r="D24" s="9" t="inlineStr">
        <ns0:is>
          <ns0:t>Retained capacity excludes the portion already realized as payroll cash saving.</ns0:t>
        </ns0:is>
      </ns0:c>
    </ns0:row>
    <ns0:row r="25" ht="53.5" customHeight="1">
      <ns0:c r="A25" s="9" t="inlineStr">
        <ns0:is>
          <ns0:t>Existing workflow</ns0:t>
        </ns0:is>
      </ns0:c>
      <ns0:c r="B25" s="9" t="inlineStr">
        <ns0:is>
          <ns0:t>Partly inferred</ns0:t>
        </ns0:is>
      </ns0:c>
      <ns0:c r="C25" s="9" t="inlineStr">
        <ns0:is>
          <ns0:t>Evidence limitation</ns0:t>
        </ns0:is>
      </ns0:c>
      <ns0:c r="D25" s="9" t="inlineStr">
        <ns0:is>
          <ns0:t>Worksheet proves recorded monitoring fields. Collection, follow-up, reconciliation and report activities are analytical workflow assumptions pending staff interview.</ns0:t>
        </ns0:is>
      </ns0:c>
    </ns0:row>
    <ns0:row r="26" ht="45" customHeight="1">
      <ns0:c r="A26" s="9" t="inlineStr">
        <ns0:is>
          <ns0:t>Production effectiveness</ns0:t>
        </ns0:is>
      </ns0:c>
      <ns0:c r="B26" s="9" t="inlineStr">
        <ns0:is>
          <ns0:t>Not verified</ns0:t>
        </ns0:is>
      </ns0:c>
      <ns0:c r="C26" s="9" t="inlineStr">
        <ns0:is>
          <ns0:t>Evidence limitation</ns0:t>
        </ns0:is>
      </ns0:c>
      <ns0:c r="D26" s="9" t="inlineStr">
        <ns0:is>
          <ns0:t>Repository supports features; no live database, uptime, scheduler operation or performance benchmark was verified.</ns0:t>
        </ns0:is>
      </ns0:c>
    </ns0:row>
    <ns0:row r="27" ht="45" customHeight="1">
      <ns0:c r="A27" s="9" t="inlineStr">
        <ns0:is>
          <ns0:t>Taxes / terminal value / financing</ns0:t>
        </ns0:is>
      </ns0:c>
      <ns0:c r="B27" s="9" t="inlineStr">
        <ns0:is>
          <ns0:t>Excluded</ns0:t>
        </ns0:is>
      </ns0:c>
      <ns0:c r="C27" s="9" t="inlineStr">
        <ns0:is>
          <ns0:t>Modelling convention</ns0:t>
        </ns0:is>
      </ns0:c>
      <ns0:c r="D27" s="9" t="inlineStr">
        <ns0:is>
          <ns0:t>Use consistent gross cash quotes; no tax shield, resale proceeds or financing cost is credited. Three-year constant-price view.</ns0:t>
        </ns0:is>
      </ns0:c>
    </ns0:row>
    <ns0:row r="28" ht="53.5" customHeight="1">
      <ns0:c r="A28" s="9" t="inlineStr">
        <ns0:is>
          <ns0:t>Prior development work</ns0:t>
        </ns0:is>
      </ns0:c>
      <ns0:c r="B28" s="9" t="inlineStr">
        <ns0:is>
          <ns0:t>Separate before approval</ns0:t>
        </ns0:is>
      </ns0:c>
      <ns0:c r="C28" s="9" t="inlineStr">
        <ns0:is>
          <ns0:t>Decision boundary</ns0:t>
        </ns0:is>
      </ns0:c>
      <ns0:c r="D28" s="9" t="inlineStr">
        <ns0:is>
          <ns0:t>Workbook values full development/implementation scope. For a remaining-investment decision, exclude sunk cash already spent and document the revised scope.</ns0:t>
        </ns0:is>
      </ns0:c>
    </ns0:row>
    <ns0:row r="29" ht="45" customHeight="1">
      <ns0:c r="A29" s="9" t="inlineStr">
        <ns0:is>
          <ns0:t>Report synchronization</ns0:t>
        </ns0:is>
      </ns0:c>
      <ns0:c r="B29" s="9" t="inlineStr">
        <ns0:is>
          <ns0:t>Dated snapshot</ns0:t>
        </ns0:is>
      </ns0:c>
      <ns0:c r="C29" s="9" t="inlineStr">
        <ns0:is>
          <ns0:t>Use instruction</ns0:t>
        </ns0:is>
      </ns0:c>
      <ns0:c r="D29" s="9" t="inlineStr">
        <ns0:is>
          <ns0:t>Excel formulas update on editing. Word/PDF do not live-link; regenerate/update both reports after financial inputs change.</ns0:t>
        </ns0:is>
      </ns0:c>
    </ns0:row>
    <ns0:row r="30" ht="19" customHeight="1"/>
    <ns0:row r="31" ht="19" customHeight="1"/>
    <ns0:row r="32" ht="32" customHeight="1">
      <ns0:c r="A32" s="8" t="inlineStr">
        <ns0:is>
          <ns0:t>ID / source</ns0:t>
        </ns0:is>
      </ns0:c>
      <ns0:c r="B32" s="8" t="inlineStr">
        <ns0:is>
          <ns0:t>Location / source</ns0:t>
        </ns0:is>
      </ns0:c>
      <ns0:c r="C32" s="8" t="inlineStr">
        <ns0:is>
          <ns0:t>Evidence class</ns0:t>
        </ns0:is>
      </ns0:c>
      <ns0:c r="D32" s="8" t="inlineStr">
        <ns0:is>
          <ns0:t>Description / limits</ns0:t>
        </ns0:is>
      </ns0:c>
    </ns0:row>
    <ns0:row r="33" ht="47" customHeight="1">
      <ns0:c r="A33" s="9" t="inlineStr">
        <ns0:is>
          <ns0:t>R1 | Supplied inventory image</ns0:t>
        </ns0:is>
      </ns0:c>
      <ns0:c r="B33" s="9" t="inlineStr">
        <ns0:is>
          <ns0:t>Supplied inventory image</ns0:t>
        </ns0:is>
      </ns0:c>
      <ns0:c r="C33" s="9" t="inlineStr">
        <ns0:is>
          <ns0:t>Supplied reference</ns0:t>
        </ns0:is>
      </ns0:c>
      <ns0:c r="D33" s="9" t="inlineStr">
        <ns0:is>
          <ns0:t>HAND TOOLS AND OTHERS MONITORING; undated; 26 populated rows. Blank row 27 excluded.</ns0:t>
        </ns0:is>
      </ns0:c>
    </ns0:row>
    <ns0:row r="34" ht="47" customHeight="1">
      <ns0:c r="A34" s="9" t="inlineStr">
        <ns0:is>
          <ns0:t>R2 | User-supplied transcription</ns0:t>
        </ns0:is>
      </ns0:c>
      <ns0:c r="B34" s="9" t="inlineStr">
        <ns0:is>
          <ns0:t>User-supplied transcription</ns0:t>
        </ns0:is>
      </ns0:c>
      <ns0:c r="C34" s="9" t="inlineStr">
        <ns0:is>
          <ns0:t>Supplied reference</ns0:t>
        </ns0:is>
      </ns0:c>
      <ns0:c r="D34" s="9" t="inlineStr">
        <ns0:is>
          <ns0:t>Pasted text.txt; supplied quantities cross-checked against R1.</ns0:t>
        </ns0:is>
      </ns0:c>
    </ns0:row>
    <ns0:row r="35" ht="53.5" customHeight="1">
      <ns0:c r="A35" s="9" t="inlineStr">
        <ns0:is>
          <ns0:t>R3 | Academic reference images</ns0:t>
        </ns0:is>
      </ns0:c>
      <ns0:c r="B35" s="9" t="inlineStr">
        <ns0:is>
          <ns0:t>Academic reference images</ns0:t>
        </ns0:is>
      </ns0:c>
      <ns0:c r="C35" s="9" t="inlineStr">
        <ns0:is>
          <ns0:t>Supplied reference</ns0:t>
        </ns0:is>
      </ns0:c>
      <ns0:c r="D35" s="9" t="inlineStr">
        <ns0:is>
          <ns0:t>IT303 Systems Analysis and Design, Unit 2; visible printed page 105 and subsequent benefits worksheet / viewer pages 58–59. Layout only; full bibliographic details not supplied.</ns0:t>
        </ns0:is>
      </ns0:c>
    </ns0:row>
    <ns0:row r="36" ht="47" customHeight="1">
      <ns0:c r="A36" s="9" t="inlineStr">
        <ns0:is>
          <ns0:t>R4 | Asset masterlist</ns0:t>
        </ns0:is>
      </ns0:c>
      <ns0:c r="B36" s="9" t="inlineStr">
        <ns0:is>
          <ns0:t>1-admin/modules/masterlist/masterlist.js</ns0:t>
        </ns0:is>
      </ns0:c>
      <ns0:c r="C36" s="9" t="inlineStr">
        <ns0:is>
          <ns0:t>Repository source</ns0:t>
        </ns0:is>
      </ns0:c>
      <ns0:c r="D36" s="9" t="inlineStr">
        <ns0:is>
          <ns0:t>Registration, quantity, site, holder and condition/status views.</ns0:t>
        </ns0:is>
      </ns0:c>
    </ns0:row>
    <ns0:row r="37" ht="47" customHeight="1">
      <ns0:c r="A37" s="9" t="inlineStr">
        <ns0:is>
          <ns0:t>R5 | Authenticated movement client</ns0:t>
        </ns0:is>
      </ns0:c>
      <ns0:c r="B37" s="9" t="inlineStr">
        <ns0:is>
          <ns0:t>js/movement-cloud.js</ns0:t>
        </ns0:is>
      </ns0:c>
      <ns0:c r="C37" s="9" t="inlineStr">
        <ns0:is>
          <ns0:t>Repository source</ns0:t>
        </ns0:is>
      </ns0:c>
      <ns0:c r="D37" s="9" t="inlineStr">
        <ns0:is>
          <ns0:t>Requests, release, transfer receipt, returns, repairs and recovery actions.</ns0:t>
        </ns0:is>
      </ns0:c>
    </ns0:row>
    <ns0:row r="38" ht="47" customHeight="1">
      <ns0:c r="A38" s="9" t="inlineStr">
        <ns0:is>
          <ns0:t>R6 | Movement interface</ns0:t>
        </ns0:is>
      </ns0:c>
      <ns0:c r="B38" s="9" t="inlineStr">
        <ns0:is>
          <ns0:t>js/movement-ui.js</ns0:t>
        </ns0:is>
      </ns0:c>
      <ns0:c r="C38" s="9" t="inlineStr">
        <ns0:is>
          <ns0:t>Repository source</ns0:t>
        </ns0:is>
      </ns0:c>
      <ns0:c r="D38" s="9" t="inlineStr">
        <ns0:is>
          <ns0:t>Whole asset records; per-tool receipt inspection and follow-up cases.</ns0:t>
        </ns0:is>
      </ns0:c>
    </ns0:row>
    <ns0:row r="39" ht="47" customHeight="1">
      <ns0:c r="A39" s="9" t="inlineStr">
        <ns0:is>
          <ns0:t>R7 | Reports implementation</ns0:t>
        </ns0:is>
      </ns0:c>
      <ns0:c r="B39" s="9" t="inlineStr">
        <ns0:is>
          <ns0:t>1-admin/modules/reports/reports.js</ns0:t>
        </ns0:is>
      </ns0:c>
      <ns0:c r="C39" s="9" t="inlineStr">
        <ns0:is>
          <ns0:t>Repository source</ns0:t>
        </ns0:is>
      </ns0:c>
      <ns0:c r="D39" s="9" t="inlineStr">
        <ns0:is>
          <ns0:t>Current inventory, prospective snapshots, movement reports and PDF export.</ns0:t>
        </ns0:is>
      </ns0:c>
    </ns0:row>
    <ns0:row r="40" ht="47" customHeight="1">
      <ns0:c r="A40" s="9" t="inlineStr">
        <ns0:is>
          <ns0:t>R8 | Monitoring backend</ns0:t>
        </ns0:is>
      </ns0:c>
      <ns0:c r="B40" s="9" t="inlineStr">
        <ns0:is>
          <ns0:t>supabase/migrations/202610100006_monitoring.sql</ns0:t>
        </ns0:is>
      </ns0:c>
      <ns0:c r="C40" s="9" t="inlineStr">
        <ns0:is>
          <ns0:t>Repository source</ns0:t>
        </ns0:is>
      </ns0:c>
      <ns0:c r="D40" s="9" t="inlineStr">
        <ns0:is>
          <ns0:t>Prospective weekly snapshot functions; scheduler remains external.</ns0:t>
        </ns0:is>
      </ns0:c>
    </ns0:row>
    <ns0:row r="41" ht="47" customHeight="1">
      <ns0:c r="A41" s="9" t="inlineStr">
        <ns0:is>
          <ns0:t>R9 | Permissions and identity</ns0:t>
        </ns0:is>
      </ns0:c>
      <ns0:c r="B41" s="9" t="inlineStr">
        <ns0:is>
          <ns0:t>js/permissions.js</ns0:t>
        </ns0:is>
      </ns0:c>
      <ns0:c r="C41" s="9" t="inlineStr">
        <ns0:is>
          <ns0:t>Repository source</ns0:t>
        </ns0:is>
      </ns0:c>
      <ns0:c r="D41" s="9" t="inlineStr">
        <ns0:is>
          <ns0:t>Role routes/actions; authenticated Supabase sessions.</ns0:t>
        </ns0:is>
      </ns0:c>
    </ns0:row>
    <ns0:row r="42" ht="53.5" customHeight="1">
      <ns0:c r="A42" s="9" t="inlineStr">
        <ns0:is>
          <ns0:t>R10 | Accountability verification</ns0:t>
        </ns0:is>
      </ns0:c>
      <ns0:c r="B42" s="9" t="inlineStr">
        <ns0:is>
          <ns0:t>supabase/migrations/202610200001_verified_request_inventory.sql</ns0:t>
        </ns0:is>
      </ns0:c>
      <ns0:c r="C42" s="9" t="inlineStr">
        <ns0:is>
          <ns0:t>Repository source</ns0:t>
        </ns0:is>
      </ns0:c>
      <ns0:c r="D42" s="9" t="inlineStr">
        <ns0:is>
          <ns0:t>Server reservation verification and availability checks; migration presence does not prove deployment.</ns0:t>
        </ns0:is>
      </ns0:c>
    </ns0:row>
    <ns0:row r="43" ht="47" customHeight="1">
      <ns0:c r="A43" s="9" t="inlineStr">
        <ns0:is>
          <ns0:t>R11 | Activity log export</ns0:t>
        </ns0:is>
      </ns0:c>
      <ns0:c r="B43" s="9" t="inlineStr">
        <ns0:is>
          <ns0:t>js/movement-overview.js</ns0:t>
        </ns0:is>
      </ns0:c>
      <ns0:c r="C43" s="9" t="inlineStr">
        <ns0:is>
          <ns0:t>Repository source</ns0:t>
        </ns0:is>
      </ns0:c>
      <ns0:c r="D43" s="9" t="inlineStr">
        <ns0:is>
          <ns0:t>Saved movement history with PDF export.</ns0:t>
        </ns0:is>
      </ns0:c>
    </ns0:row>
    <ns0:row r="44" ht="47" customHeight="1">
      <ns0:c r="A44" s="9" t="inlineStr">
        <ns0:is>
          <ns0:t>R12 | Product operating context</ns0:t>
        </ns0:is>
      </ns0:c>
      <ns0:c r="B44" s="9" t="inlineStr">
        <ns0:is>
          <ns0:t>PRODUCT.md</ns0:t>
        </ns0:is>
      </ns0:c>
      <ns0:c r="C44" s="9" t="inlineStr">
        <ns0:is>
          <ns0:t>Repository source</ns0:t>
        </ns0:is>
      </ns0:c>
      <ns0:c r="D44" s="9" t="inlineStr">
        <ns0:is>
          <ns0:t>Weekly Monday 16:00 monitoring requirement. Planning prose can be stale; code takes precedence.</ns0:t>
        </ns0:is>
      </ns0:c>
    </ns0:row>
    <ns0:row r="45" ht="53.5" customHeight="1">
      <ns0:c r="A45" s="9" t="inlineStr">
        <ns0:is>
          <ns0:t>R13 | Current materials scope</ns0:t>
        </ns0:is>
      </ns0:c>
      <ns0:c r="B45" s="9" t="inlineStr">
        <ns0:is>
          <ns0:t>documentation/consumables-upgrade-2026-10-22/REPORT.md</ns0:t>
        </ns0:is>
      </ns0:c>
      <ns0:c r="C45" s="9" t="inlineStr">
        <ns0:is>
          <ns0:t>Repository source</ns0:t>
        </ns0:is>
      </ns0:c>
      <ns0:c r="D45" s="9" t="inlineStr">
        <ns0:is>
          <ns0:t>Consumables have separate quantities, receipts and stock history; illustrative seeds excluded.</ns0:t>
        </ns0:is>
      </ns0:c>
    </ns0:row>
    <ns0:row r="46" ht="47" customHeight="1">
      <ns0:c r="A46" s="9" t="inlineStr">
        <ns0:is>
          <ns0:t>R14 | Purchase ledger scope</ns0:t>
        </ns0:is>
      </ns0:c>
      <ns0:c r="B46" s="9" t="inlineStr">
        <ns0:is>
          <ns0:t>1-admin/modules/purchases/purchases.js</ns0:t>
        </ns0:is>
      </ns0:c>
      <ns0:c r="C46" s="9" t="inlineStr">
        <ns0:is>
          <ns0:t>Repository source</ns0:t>
        </ns0:is>
      </ns0:c>
      <ns0:c r="D46" s="9" t="inlineStr">
        <ns0:is>
          <ns0:t>Ledger/reference evidence and private receipt files; no evidence of avoided procurement.</ns0:t>
        </ns0:is>
      </ns0:c>
    </ns0:row>
    <ns0:row r="47" ht="47" customHeight="1">
      <ns0:c r="A47" s="9" t="inlineStr">
        <ns0:is>
          <ns0:t>R15 | Authentication source</ns0:t>
        </ns0:is>
      </ns0:c>
      <ns0:c r="B47" s="9" t="inlineStr">
        <ns0:is>
          <ns0:t>js/auth.js</ns0:t>
        </ns0:is>
      </ns0:c>
      <ns0:c r="C47" s="9" t="inlineStr">
        <ns0:is>
          <ns0:t>Repository source</ns0:t>
        </ns0:is>
      </ns0:c>
      <ns0:c r="D47" s="9" t="inlineStr">
        <ns0:is>
          <ns0:t>Actual sign-in/session controls supersede older prototype-only descriptions.</ns0:t>
        </ns0:is>
      </ns0:c>
    </ns0:row>
    <ns0:row r="48" ht="19" customHeight="1"/>
    <ns0:row r="49" ht="39" customHeight="1">
      <ns0:c r="A49" s="6" t="inlineStr">
        <ns0:is>
          <ns0:t>Teaching amounts ₱178,500 and ₱20,500 are from another project. They are layout examples only and are excluded from all SiteTrace financial calculations. Full source hashes and line anchors are in validation/source-evidence.json.</ns0:t>
        </ns0:is>
      </ns0:c>
    </ns0:row>
  </ns0:sheetData>
  <ns0:mergeCells count="4">
    <ns0:mergeCell ref="A1:D1"/>
    <ns0:mergeCell ref="A3:D3"/>
    <ns0:mergeCell ref="A2:D2"/>
    <ns0:mergeCell ref="A49:D49"/>
  </ns0:mergeCells>
  <ns0:dataValidations count="2">
    <ns0:dataValidation sqref="B8" showDropDown="0" showInputMessage="0" showErrorMessage="1" allowBlank="1" error="Enter a non-negative number." type="decimal" errorStyle="stop" operator="between">
      <ns0:formula1>0</ns0:formula1>
      <ns0:formula2>1000000000</ns0:formula2>
    </ns0:dataValidation>
    <ns0:dataValidation sqref="B9" showDropDown="0" showInputMessage="0" showErrorMessage="1" allowBlank="1" error="Enter a non-negative number between 0 and 1." type="decimal" errorStyle="stop" operator="between">
      <ns0:formula1>0</ns0:formula1>
      <ns0:formula2>1</ns0:formula2>
    </ns0:dataValidation>
  </ns0:dataValidation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rowBreaks count="3" manualBreakCount="3">
    <ns0:brk id="19" min="0" max="16383" man="1"/>
    <ns0:brk id="31" min="0" max="16383" man="1"/>
    <ns0:brk id="42" min="0" max="16383" man="1"/>
  </ns0:rowBreaks>
  <ns0:legacyDrawing ns1:id="anysvml"/>
</ns0:worksheet>
</file>

<file path=xl/worksheets/sheet10.xml><?xml version="1.0" encoding="utf-8"?>
<ns0:worksheet xmlns:ns0="http://schemas.openxmlformats.org/spreadsheetml/2006/main" xmlns:ns1="http://schemas.openxmlformats.org/officeDocument/2006/relationships">
  <ns0:sheetPr>
    <ns0:tabColor rgb="0018364E"/>
    <ns0:outlinePr summaryBelow="1" summaryRight="0"/>
    <ns0:pageSetUpPr fitToPage="1"/>
  </ns0:sheetPr>
  <ns0:dimension ref="A1:G38"/>
  <ns0:sheetViews>
    <ns0:sheetView showGridLines="0" zoomScale="85" workbookViewId="0">
      <ns0:pane xSplit="1" ySplit="5" topLeftCell="B6" activePane="bottomRight" state="frozen"/>
      <ns0:selection pane="topRight" activeCell="A1" sqref="A1"/>
      <ns0:selection pane="bottomLeft" activeCell="A1" sqref="A1"/>
      <ns0:selection pane="bottomRight" activeCell="A1" sqref="A1"/>
      <ns0:selection pane="bottomLeft" activeCell="A1" sqref="A1"/>
      <ns0:selection pane="bottomRight" activeCell="A1" sqref="A1"/>
    </ns0:sheetView>
  </ns0:sheetViews>
  <ns0:sheetFormatPr baseColWidth="8" defaultRowHeight="15"/>
  <ns0:cols>
    <ns0:col width="40" customWidth="1" min="1" max="1"/>
    <ns0:col width="25" customWidth="1" min="2" max="2"/>
    <ns0:col width="8" customWidth="1" min="3" max="3"/>
    <ns0:col width="31" customWidth="1" min="4" max="4"/>
    <ns0:col width="22" customWidth="1" min="5" max="5"/>
    <ns0:col width="14" customWidth="1" min="6" max="6"/>
    <ns0:col width="14" customWidth="1" min="7" max="7"/>
  </ns0:cols>
  <ns0:sheetData>
    <ns0:row r="1" ht="34.6" customHeight="1">
      <ns0:c r="A1" s="1" t="inlineStr">
        <ns0:is>
          <ns0:t>SITETRACE | EXECUTIVE DASHBOARD</ns0:t>
        </ns0:is>
      </ns0:c>
    </ns0:row>
    <ns0:row r="2" ht="32" customHeight="1">
      <ns0:c r="A2" s="3" t="inlineStr">
        <ns0:is>
          <ns0:t>Evidence-led appraisal • Baseline dated 24 October 2026 • financial results depend on documented inputs and selected assumptions.</ns0:t>
        </ns0:is>
      </ns0:c>
    </ns0:row>
    <ns0:row r="3" ht="23" customHeight="1">
      <ns0:c r="A3" s="4" t="inlineStr">
        <ns0:is>
          <ns0:t>Blue cells: editable inputs | Gray: supplied data / fixed scope | Green text: formulas | Blank: unknown, never a verified zero</ns0:t>
        </ns0:is>
      </ns0:c>
    </ns0:row>
    <ns0:row r="4" ht="19" customHeight="1"/>
    <ns0:row r="5" ht="32" customHeight="1">
      <ns0:c r="A5" s="8" t="inlineStr">
        <ns0:is>
          <ns0:t>Inventory indicator</ns0:t>
        </ns0:is>
      </ns0:c>
      <ns0:c r="B5" s="8" t="inlineStr">
        <ns0:is>
          <ns0:t>Actual quantity</ns0:t>
        </ns0:is>
      </ns0:c>
      <ns0:c r="C5" s="8" t="inlineStr"/>
      <ns0:c r="D5" s="8" t="inlineStr">
        <ns0:is>
          <ns0:t>Financial indicator</ns0:t>
        </ns0:is>
      </ns0:c>
      <ns0:c r="E5" s="8" t="inlineStr">
        <ns0:is>
          <ns0:t>Result</ns0:t>
        </ns0:is>
      </ns0:c>
      <ns0:c r="F5" s="8" t="inlineStr"/>
      <ns0:c r="G5" s="8" t="inlineStr"/>
    </ns0:row>
    <ns0:row r="6" ht="33" customHeight="1">
      <ns0:c r="A6" s="9" t="inlineStr">
        <ns0:is>
          <ns0:t>Total recorded equipment quantity</ns0:t>
        </ns0:is>
      </ns0:c>
      <ns0:c r="B6" s="11">
        <ns0:f>SUM('Inventory Baseline'!C7:C32)</ns0:f>
        <ns0:v>758.0</ns0:v>
      </ns0:c>
      <ns0:c r="D6" s="9" t="inlineStr">
        <ns0:is>
          <ns0:t>One-time implementation cost</ns0:t>
        </ns0:is>
      </ns0:c>
      <ns0:c r="E6" s="35" t="str">
        <ns0:f>'One-Time Development Cost'!E33</ns0:f>
        <ns0:v>Insufficient Data</ns0:v>
      </ns0:c>
      <ns0:c r="F6" s="34" t="n"/>
      <ns0:c r="G6" s="34" t="n"/>
    </ns0:row>
    <ns0:row r="7" ht="33" customHeight="1">
      <ns0:c r="A7" s="9" t="inlineStr">
        <ns0:is>
          <ns0:t>Equipment categories</ns0:t>
        </ns0:is>
      </ns0:c>
      <ns0:c r="B7" s="11">
        <ns0:f>COUNTA('Inventory Baseline'!B7:B32)</ns0:f>
        <ns0:v>26</ns0:v>
      </ns0:c>
      <ns0:c r="D7" s="9" t="inlineStr">
        <ns0:is>
          <ns0:t>Annual recurring system cost</ns0:t>
        </ns0:is>
      </ns0:c>
      <ns0:c r="E7" s="35" t="str">
        <ns0:f>'Recurring Costs'!E16</ns0:f>
        <ns0:v>Insufficient Data</ns0:v>
      </ns0:c>
      <ns0:c r="F7" s="34" t="n"/>
      <ns0:c r="G7" s="34" t="n"/>
    </ns0:row>
    <ns0:row r="8" ht="33" customHeight="1">
      <ns0:c r="A8" s="9" t="inlineStr">
        <ns0:is>
          <ns0:t>Categories with reported inventory gaps</ns0:t>
        </ns0:is>
      </ns0:c>
      <ns0:c r="B8" s="11">
        <ns0:f>COUNTIF('Inventory Baseline'!E7:E32,"&gt;0")</ns0:f>
        <ns0:v>3</ns0:v>
      </ns0:c>
      <ns0:c r="D8" s="9" t="inlineStr">
        <ns0:is>
          <ns0:t>Annual cash financial benefits</ns0:t>
        </ns0:is>
      </ns0:c>
      <ns0:c r="E8" s="35" t="str">
        <ns0:f>'Tangible Benefits Worksheet'!E42</ns0:f>
        <ns0:v>Insufficient Data</ns0:v>
      </ns0:c>
      <ns0:c r="F8" s="34" t="n"/>
      <ns0:c r="G8" s="34" t="n"/>
    </ns0:row>
    <ns0:row r="9" ht="33" customHeight="1">
      <ns0:c r="A9" s="9" t="inlineStr">
        <ns0:is>
          <ns0:t>Units missing or without report</ns0:t>
        </ns0:is>
      </ns0:c>
      <ns0:c r="B9" s="11">
        <ns0:f>'Inventory Baseline'!E34</ns0:f>
        <ns0:v>463.0</ns0:v>
      </ns0:c>
      <ns0:c r="D9" s="9" t="inlineStr">
        <ns0:is>
          <ns0:t>Three-year cash ROI</ns0:t>
        </ns0:is>
      </ns0:c>
      <ns0:c r="E9" s="36" t="str">
        <ns0:f>'Financial Analysis'!B34</ns0:f>
        <ns0:v>Insufficient Data</ns0:v>
      </ns0:c>
      <ns0:c r="F9" s="34" t="n"/>
      <ns0:c r="G9" s="34" t="n"/>
    </ns0:row>
    <ns0:row r="10" ht="33" customHeight="1">
      <ns0:c r="D10" s="9" t="inlineStr">
        <ns0:is>
          <ns0:t>Cash payback period</ns0:t>
        </ns0:is>
      </ns0:c>
      <ns0:c r="E10" s="37" t="str">
        <ns0:f>'Financial Analysis'!B37</ns0:f>
        <ns0:v>Insufficient Data</ns0:v>
      </ns0:c>
      <ns0:c r="F10" s="34" t="n"/>
      <ns0:c r="G10" s="34" t="n"/>
    </ns0:row>
    <ns0:row r="11" ht="33" customHeight="1">
      <ns0:c r="D11" s="9" t="inlineStr">
        <ns0:is>
          <ns0:t>Cash NPV</ns0:t>
        </ns0:is>
      </ns0:c>
      <ns0:c r="E11" s="35" t="str">
        <ns0:f>'Financial Analysis'!B36</ns0:f>
        <ns0:v>Insufficient Data</ns0:v>
      </ns0:c>
      <ns0:c r="F11" s="34" t="n"/>
      <ns0:c r="G11" s="34" t="n"/>
    </ns0:row>
    <ns0:row r="12" ht="19" customHeight="1"/>
    <ns0:row r="13" ht="36" customHeight="1">
      <ns0:c r="A13" s="6" t="inlineStr">
        <ns0:is>
          <ns0:t>463 units represent a reporting / reconciliation gap. They are not confirmed losses. Financial figures remain Insufficient Data until financial and operational inputs are supplied.</ns0:t>
        </ns0:is>
      </ns0:c>
    </ns0:row>
    <ns0:row r="14" ht="19" customHeight="1"/>
    <ns0:row r="15" ht="19" customHeight="1"/>
    <ns0:row r="16" ht="39" customHeight="1">
      <ns0:c r="A16" s="8" t="inlineStr">
        <ns0:is>
          <ns0:t>Flagged equipment category</ns0:t>
        </ns0:is>
      </ns0:c>
      <ns0:c r="B16" s="8" t="inlineStr">
        <ns0:is>
          <ns0:t>Reported gap</ns0:t>
        </ns0:is>
      </ns0:c>
      <ns0:c r="C16" s="8" t="inlineStr">
        <ns0:is>
          <ns0:t>Share of 463</ns0:t>
        </ns0:is>
      </ns0:c>
      <ns0:c r="D16" s="8" t="inlineStr"/>
      <ns0:c r="E16" s="8" t="inlineStr"/>
      <ns0:c r="F16" s="8" t="inlineStr"/>
      <ns0:c r="G16" s="8" t="inlineStr"/>
    </ns0:row>
    <ns0:row r="17" ht="28" customHeight="1">
      <ns0:c r="A17" s="9" t="inlineStr">
        <ns0:is>
          <ns0:t>Shovel (Pala, Bilog)</ns0:t>
        </ns0:is>
      </ns0:c>
      <ns0:c r="B17" s="9" t="n">
        <ns0:v>19</ns0:v>
      </ns0:c>
      <ns0:c r="C17" s="16">
        <ns0:f>B17/$B$9</ns0:f>
        <ns0:v>0.04103671706263499</ns0:v>
      </ns0:c>
    </ns0:row>
    <ns0:row r="18" ht="28" customHeight="1">
      <ns0:c r="A18" s="9" t="inlineStr">
        <ns0:is>
          <ns0:t>GI Pipes</ns0:t>
        </ns0:is>
      </ns0:c>
      <ns0:c r="B18" s="9" t="n">
        <ns0:v>75</ns0:v>
      </ns0:c>
      <ns0:c r="C18" s="16">
        <ns0:f>B18/$B$9</ns0:f>
        <ns0:v>0.16198704103671707</ns0:v>
      </ns0:c>
    </ns0:row>
    <ns0:row r="19" ht="28" customHeight="1">
      <ns0:c r="A19" s="9" t="inlineStr">
        <ns0:is>
          <ns0:t>Swivel Clamp</ns0:t>
        </ns0:is>
      </ns0:c>
      <ns0:c r="B19" s="9" t="n">
        <ns0:v>369</ns0:v>
      </ns0:c>
      <ns0:c r="C19" s="16">
        <ns0:f>B19/$B$9</ns0:f>
        <ns0:v>0.796976241900648</ns0:v>
      </ns0:c>
    </ns0:row>
    <ns0:row r="20" ht="19" customHeight="1"/>
    <ns0:row r="21" ht="19" customHeight="1"/>
    <ns0:row r="22" ht="19" customHeight="1"/>
    <ns0:row r="23" ht="19" customHeight="1"/>
    <ns0:row r="24" ht="19" customHeight="1"/>
    <ns0:row r="25" ht="19" customHeight="1"/>
    <ns0:row r="26" ht="19" customHeight="1"/>
    <ns0:row r="27" ht="19" customHeight="1"/>
    <ns0:row r="28" ht="19" customHeight="1"/>
    <ns0:row r="29" ht="19" customHeight="1"/>
    <ns0:row r="30" ht="19" customHeight="1"/>
    <ns0:row r="31" ht="19" customHeight="1"/>
    <ns0:row r="32" ht="19" customHeight="1"/>
    <ns0:row r="33" ht="19" customHeight="1"/>
    <ns0:row r="34" ht="19" customHeight="1"/>
    <ns0:row r="35" ht="19" customHeight="1"/>
    <ns0:row r="36" ht="19" customHeight="1"/>
    <ns0:row r="37" ht="19" customHeight="1"/>
    <ns0:row r="38" ht="39" customHeight="1">
      <ns0:c r="A38" s="6" t="inlineStr">
        <ns0:is>
          <ns0:t>Next evidence: development effort/rates, supplier bills and bundles, baseline and pilot task times, wages, supplies spending, and approved cash reductions. Reconcile the 3 flagged categories first.</ns0:t>
        </ns0:is>
      </ns0:c>
    </ns0:row>
  </ns0:sheetData>
  <ns0:mergeCells count="11">
    <ns0:mergeCell ref="A13:G13"/>
    <ns0:mergeCell ref="E10:G10"/>
    <ns0:mergeCell ref="A1:G1"/>
    <ns0:mergeCell ref="E11:G11"/>
    <ns0:mergeCell ref="A3:G3"/>
    <ns0:mergeCell ref="E8:G8"/>
    <ns0:mergeCell ref="A38:G38"/>
    <ns0:mergeCell ref="A2:G2"/>
    <ns0:mergeCell ref="E9:G9"/>
    <ns0:mergeCell ref="E7:G7"/>
    <ns0:mergeCell ref="E6:G6"/>
  </ns0:mergeCells>
  <ns0:printOptions horizontalCentered="1"/>
  <ns0:pageMargins left="0.28" right="0.28" top="0.42" bottom="0.42" header="0.5" footer="0.5"/>
  <ns0:pageSetup orientation="landscape" paperSize="9" fitToHeight="0" fitToWidth="1"/>
  <ns0:headerFooter>
    <ns0:oddHeader>&amp;C&amp;8 SiteTrace | IT303 Cost-Benefit Analysis</ns0:oddHeader>
    <ns0:oddFooter>&amp;L&amp;8 24 October 2026 | Financial inputs unverified&amp;RPage &amp;P of &amp;N</ns0:oddFooter>
    <ns0:evenHeader/>
    <ns0:evenFooter/>
    <ns0:firstHeader/>
    <ns0:firstFooter/>
  </ns0:headerFooter>
  <ns0:drawing ns1:id="rId1"/>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SiteTrace Academic Documentation</dc:creator>
  <dc:title xmlns:dc="http://purl.org/dc/elements/1.1/">SiteTrace Cost-Benefit Analysis</dc:title>
  <dc:subject xmlns:dc="http://purl.org/dc/elements/1.1/">IT303; source-based inventory and conditional financial appraisal</dc:subject>
  <dcterms:created xmlns:dcterms="http://purl.org/dc/terms/" xmlns:xsi="http://www.w3.org/2001/XMLSchema-instance" xsi:type="dcterms:W3CDTF">2026-10-24T00:00:00Z</dcterms:created>
  <dcterms:modified xmlns:dcterms="http://purl.org/dc/terms/" xmlns:xsi="http://www.w3.org/2001/XMLSchema-instance" xsi:type="dcterms:W3CDTF">2026-10-24T09:38:23Z</dcterms:modified>
</cp:coreProperties>
</file>