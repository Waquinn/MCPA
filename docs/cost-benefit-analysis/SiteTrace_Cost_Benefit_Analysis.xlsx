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ne Time Cost" sheetId="1" r:id="rId1"/>
    <sheet name="Cost Explanation" sheetId="2" r:id="rId2"/>
    <sheet name="Tangible Benefits" sheetId="3" r:id="rId3"/>
    <sheet name="Company Inventory" sheetId="4" r:id="rId4"/>
    <sheet name="Input Details" sheetId="5" r:id="rId5"/>
  </sheets>
  <definedNames>
    <definedName name="_xlnm.Print_Area" localSheetId="3">'Company Inventory'!$A$1:$I$39</definedName>
    <definedName name="_xlnm.Print_Area" localSheetId="1">'Cost Explanation'!$A$1:$P$35</definedName>
    <definedName name="_xlnm.Print_Area" localSheetId="4">'Input Details'!$A$1:$H$40</definedName>
    <definedName name="_xlnm.Print_Area" localSheetId="0">'One Time Cost'!$A$1:$T$61</definedName>
    <definedName name="_xlnm.Print_Area" localSheetId="2">'Tangible Benefits'!$A$1:$W$45</definedName>
  </definedNames>
  <calcPr calcId="124519" fullCalcOnLoad="1"/>
</workbook>
</file>

<file path=xl/comments1.xml><?xml version="1.0" encoding="utf-8"?>
<comments xmlns="http://schemas.openxmlformats.org/spreadsheetml/2006/main">
  <authors>
    <author/>
  </authors>
  <commentList>
    <comment ref="D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9"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9"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20"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20"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E29"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E30"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K3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K40"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K42"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E43"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K44"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E4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K4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E4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List>
</comments>
</file>

<file path=xl/comments2.xml><?xml version="1.0" encoding="utf-8"?>
<comments xmlns="http://schemas.openxmlformats.org/spreadsheetml/2006/main">
  <authors>
    <author/>
  </authors>
  <commentList>
    <comment ref="D12"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2"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L12"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N12"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3"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3"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L13"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N13"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4"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4"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L14"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N14"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L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N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L1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N1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L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N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D18"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F18"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List>
</comments>
</file>

<file path=xl/comments3.xml><?xml version="1.0" encoding="utf-8"?>
<comments xmlns="http://schemas.openxmlformats.org/spreadsheetml/2006/main">
  <authors>
    <author/>
  </authors>
  <commentList>
    <comment ref="C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8"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9"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0"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1"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2"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3"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4"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5"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6"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7"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8"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 ref="C19" authorId="0">
      <text>
        <r>
          <rPr>
            <sz val="8"/>
            <color indexed="81"/>
            <rFont val="Tahoma"/>
            <family val="2"/>
          </rPr>
          <t>Editable planning estimate, not an actual company bill or wage. Replace with a verified quote or measured value when available. Zero means an explicit free/bundled/not-required item in this scenario.</t>
        </r>
      </text>
    </comment>
  </commentList>
</comments>
</file>

<file path=xl/sharedStrings.xml><?xml version="1.0" encoding="utf-8"?>
<sst xmlns="http://schemas.openxmlformats.org/spreadsheetml/2006/main" count="259" uniqueCount="148">
  <si>
    <t>UNIT 2: Systems Planning | PLANNING ESTIMATES (PHP)</t>
  </si>
  <si>
    <t>IT303: SYSTEMS ANALYSIS AND DESIGN</t>
  </si>
  <si>
    <t>1</t>
  </si>
  <si>
    <t>BREAKDOWN OF ONE TIME COST WORKSHEET</t>
  </si>
  <si>
    <t>Assumed project development duration: 3 MONTHS (part-time project fees)</t>
  </si>
  <si>
    <t>A. Development Cost</t>
  </si>
  <si>
    <t>Description</t>
  </si>
  <si>
    <t>Fee/Month</t>
  </si>
  <si>
    <t>Mo.</t>
  </si>
  <si>
    <t>Sub_Total</t>
  </si>
  <si>
    <t>System Analyst (PT)</t>
  </si>
  <si>
    <t>Programmer (PT)</t>
  </si>
  <si>
    <t>Encoder (PT)</t>
  </si>
  <si>
    <t>Research / QA (PT)</t>
  </si>
  <si>
    <t>TOTAL</t>
  </si>
  <si>
    <t>B. User Training</t>
  </si>
  <si>
    <t>Honoraria/day</t>
  </si>
  <si>
    <t>User Training (2 days)</t>
  </si>
  <si>
    <t>Training Kit</t>
  </si>
  <si>
    <t>C. ADDITIONAL HARDWARE/SOFTWARE</t>
  </si>
  <si>
    <t>Unit Cost</t>
  </si>
  <si>
    <t>Cloud Database Setup</t>
  </si>
  <si>
    <t>External Drive</t>
  </si>
  <si>
    <t>Open-source Tools /
Free SSL</t>
  </si>
  <si>
    <t>Total One Time Cost = Total Development Cost + Total
User Training + Total Additional Hardware/Software</t>
  </si>
  <si>
    <t>C. Additional
    Hardware/Software</t>
  </si>
  <si>
    <t>TOTAL ONE TIME COST</t>
  </si>
  <si>
    <t>RECURRING COST</t>
  </si>
  <si>
    <t>All financial figures are planning estimates in PHP, not actual company expenses. Maintenance, hosting and communication rates are monthly; renewals are annual. Free or bundled items are explicitly shown as 0.00. See Planning Basis for assumptions and sources.</t>
  </si>
  <si>
    <t>Rate (PHP)</t>
  </si>
  <si>
    <t>Annually</t>
  </si>
  <si>
    <t>Software Maintenance</t>
  </si>
  <si>
    <t>Cloud Database + Storage</t>
  </si>
  <si>
    <t>Static Frontend Hosting</t>
  </si>
  <si>
    <t>Incremental Communication</t>
  </si>
  <si>
    <t>Domain Renewal (year)</t>
  </si>
  <si>
    <t>Software License Renewal</t>
  </si>
  <si>
    <t>PHP
EST.</t>
  </si>
  <si>
    <t>2</t>
  </si>
  <si>
    <t>The estimated one-time investment is PHP 114,500.00: development PHP 107,000.00, user training PHP 4,000.00, and deployment/backup hardware PHP 3,500.00. Estimated annual recurring cost is PHP 31,800.00. These figures form a planning scenario and are not actual company spending or approved vendor quotations.</t>
  </si>
  <si>
    <t>The green company monitoring table records 758 units across 26 equipment categories. It identifies 19 round shovels, 75 GI pipes and 369 swivel clamps under “Missing or No Report,” totaling 463 units. These are reconciliation gaps; the table does not establish confirmed financial losses.</t>
  </si>
  <si>
    <t>Estimated annual operational value is PHP 80,290.00, comprising PHP 4,690.00 in supplies cash savings and PHP 75,600.00 in released staff capacity. The capacity value is not payroll savings. Supplies savings alone do not cover the PHP 31,800.00 yearly running cost; the net cash requirement remains PHP 27,110.00 per year.</t>
  </si>
  <si>
    <t>•  Benefit</t>
  </si>
  <si>
    <t>3</t>
  </si>
  <si>
    <t>Breakdown of Tangible Benefit Worksheet</t>
  </si>
  <si>
    <t>A. SUPPLIES COST</t>
  </si>
  <si>
    <t>EXISTING SYSTEM</t>
  </si>
  <si>
    <t>Qty</t>
  </si>
  <si>
    <t>Price/Qty</t>
  </si>
  <si>
    <t>Folders (bundle)</t>
  </si>
  <si>
    <t>Ballpen (box)</t>
  </si>
  <si>
    <t>Bond Papers (ream)</t>
  </si>
  <si>
    <t>Carbon Paper (pack)</t>
  </si>
  <si>
    <t>Record Book (pc)</t>
  </si>
  <si>
    <t>Vouchers (pad)</t>
  </si>
  <si>
    <t>Ink (bottle)</t>
  </si>
  <si>
    <t>PROPOSED SYSTEM</t>
  </si>
  <si>
    <t>USB (piece)</t>
  </si>
  <si>
    <t>Supplies Cost Reduction = Total Supplies of the Existing System − Total Supplies of the Proposed System</t>
  </si>
  <si>
    <t>Supplies Cost Reduction</t>
  </si>
  <si>
    <t>B. LABOR AND PRODUCTIVITY VALUE</t>
  </si>
  <si>
    <t>Activity</t>
  </si>
  <si>
    <t>Allocated Cost/
Month</t>
  </si>
  <si>
    <t>Annual</t>
  </si>
  <si>
    <t>Inventory monitoring</t>
  </si>
  <si>
    <t>Report preparation</t>
  </si>
  <si>
    <t>Reconciliation / follow-up</t>
  </si>
  <si>
    <t>Productivity Value = Existing Allocated Labor Cost − Proposed Allocated Labor Cost</t>
  </si>
  <si>
    <t>Labor Productivity Value</t>
  </si>
  <si>
    <t>Total Annual Tangible Value = Productivity Value + Supplies Cash Savings</t>
  </si>
  <si>
    <t>Total Annual Tangible Value</t>
  </si>
  <si>
    <t>Estimated annual supplies spending falls from PHP 7,500.00 to PHP 2,810.00, a potential cash saving of PHP 4,690.00. Allocated labor falls from PHP 144,000.00 to PHP 68,400.00, releasing capacity valued at PHP 75,600.00 per year. Combined tangible value is PHP 80,290.00; no salary or headcount reduction is assumed.</t>
  </si>
  <si>
    <t>No equipment-loss or recovery saving is credited (PHP 0.00). The 463 missing or unreported units remain a reconciliation concern, not confirmed losses. A USB purchase is unnecessary in this scenario because cloud reporting and the separately budgeted backup drive are available; its subtotal is PHP 0.00.</t>
  </si>
  <si>
    <t>HAND TOOLS AND OTHERS MONITORING</t>
  </si>
  <si>
    <t>ITEM
NO.</t>
  </si>
  <si>
    <t>POWER TOOLS</t>
  </si>
  <si>
    <t>QTY.</t>
  </si>
  <si>
    <t>NEED TO COMPLY</t>
  </si>
  <si>
    <t>MISSING OR
NO REPORT</t>
  </si>
  <si>
    <t>SHOVEL (PALA, LAPAD)</t>
  </si>
  <si>
    <t>—</t>
  </si>
  <si>
    <t>SHOVEL (PALA, BILOG)</t>
  </si>
  <si>
    <t>BARETA</t>
  </si>
  <si>
    <t>ITAK</t>
  </si>
  <si>
    <t>PIKO</t>
  </si>
  <si>
    <t>PLASTIC DRUM 200L</t>
  </si>
  <si>
    <t>IBC WATER TANK 1000L</t>
  </si>
  <si>
    <t>WHEEL BARROW</t>
  </si>
  <si>
    <t>OXYGEN TANK</t>
  </si>
  <si>
    <t>GAS TANK</t>
  </si>
  <si>
    <t>ELECTRIC KETTLE</t>
  </si>
  <si>
    <t>EXTENSION</t>
  </si>
  <si>
    <t>DOUBLE BURNER STOVE</t>
  </si>
  <si>
    <t>LABABO</t>
  </si>
  <si>
    <t>MASO</t>
  </si>
  <si>
    <t>GARDEN HOSE</t>
  </si>
  <si>
    <t>GI PIPES</t>
  </si>
  <si>
    <t>BASE JACK</t>
  </si>
  <si>
    <t>U-JACK</t>
  </si>
  <si>
    <t>BUCKETS</t>
  </si>
  <si>
    <t>CATWALK FLATFORM SCAFFOLDING</t>
  </si>
  <si>
    <t>H-FRAME SCAFFOLDING</t>
  </si>
  <si>
    <t>BRACES SCAFFOLDING</t>
  </si>
  <si>
    <t>WATER-PUMP</t>
  </si>
  <si>
    <t>GARDEN SPRINKLER</t>
  </si>
  <si>
    <t>SWIVEL CLAMP</t>
  </si>
  <si>
    <t>SOURCE CHECK: 26 populated categories; 758 recorded units; 463 missing or unreported units.</t>
  </si>
  <si>
    <t>A dash means not reported in the source, not zero. Only three categories have supplied requirements and gaps. The 463 units are not confirmed physical losses. “CATWALK FLATFORM SCAFFOLDING” preserves the source spelling; unused row 27 is omitted.</t>
  </si>
  <si>
    <t>Source: user-supplied green “HAND TOOLS AND OTHERS MONITORING” image. Application records are demonstration data and are excluded.</t>
  </si>
  <si>
    <t>COMPANY DATA SOURCE: GREEN INVENTORY TABLE ONLY</t>
  </si>
  <si>
    <t>4</t>
  </si>
  <si>
    <t>PLANNING BASIS — EDITABLE ESTIMATES (PHP)</t>
  </si>
  <si>
    <t>These financial values and task timings are illustrative estimates, not actual company expenses. Only the green inventory quantities are company data. A three-month build is assumed; project fees cover part-time services.</t>
  </si>
  <si>
    <t>Supporting input</t>
  </si>
  <si>
    <t>Estimate</t>
  </si>
  <si>
    <t>Unit / basis</t>
  </si>
  <si>
    <t>Training duration</t>
  </si>
  <si>
    <t>days</t>
  </si>
  <si>
    <t>Cloud deployment setup quantity</t>
  </si>
  <si>
    <t>setup service</t>
  </si>
  <si>
    <t>External backup drive quantity</t>
  </si>
  <si>
    <t>one drive</t>
  </si>
  <si>
    <t>Open-source / SSL package quantity</t>
  </si>
  <si>
    <t>free package</t>
  </si>
  <si>
    <t>Planning exchange rate</t>
  </si>
  <si>
    <t>PHP per USD</t>
  </si>
  <si>
    <t>Hosted backend subscription</t>
  </si>
  <si>
    <t>USD per month [S1]</t>
  </si>
  <si>
    <t>Administrative time valuation</t>
  </si>
  <si>
    <t>PHP per person-hour</t>
  </si>
  <si>
    <t>Existing inventory-monitoring time</t>
  </si>
  <si>
    <t>person-hours per month</t>
  </si>
  <si>
    <t>Existing report-preparation time</t>
  </si>
  <si>
    <t>Existing reconciliation / follow-up time</t>
  </si>
  <si>
    <t>Proposed inventory-monitoring time</t>
  </si>
  <si>
    <t>Proposed report-preparation time</t>
  </si>
  <si>
    <t>Proposed reconciliation / follow-up time</t>
  </si>
  <si>
    <t>Cost boundaries: coding/testing is covered by the development retainers; PHP 1,000 setup covers account provisioning and deployment checks. The backup drive is a separate offline export copy. Hosted database storage and bundled database backups are paid once; frontend hosting, open-source licenses and SSL add no separate fee.</t>
  </si>
  <si>
    <t>Labor basis: estimated monthly task time falls from 80 to 38 person-hours. The 42 hours released each month equal 504 hours/year; at PHP 150/hour, productivity value is PHP 75,600/year. This does not reduce payroll. Supplies savings are PHP 4,690/year; after PHP 31,800 recurring costs, net cash impact is negative PHP 27,110/year.</t>
  </si>
  <si>
    <t>BENCHMARKS AND SOURCES — CHECKED 24 OCTOBER 2026</t>
  </si>
  <si>
    <t>[S1] Supabase Pro: USD 25/month starting price, within stated quotas. https://supabase.com/pricing</t>
  </si>
  <si>
    <t>[S2] Cloudflare Pages Free: static hosting limits apply. https://developers.cloudflare.com/pages/platform/limits/</t>
  </si>
  <si>
    <t>[S3] Registrar: no-markup domain pricing and included SSL. PHP 900 is an allowance. https://www.cloudflare.com/domains/</t>
  </si>
  <si>
    <t>[S4] Philippine wage context only; company wages are unknown. https://nwpc.dole.gov.ph/ncr/</t>
  </si>
  <si>
    <t>[S5] Official FX reference. PHP 65/USD is a rounded planning conversion. https://www.bsp.gov.ph/SitePages/Statistics/exchangerate.aspx</t>
  </si>
  <si>
    <t>Other rates, supplies quantities, hardware allowance and time reductions are analyst estimates, not quotations. Training includes a basic two-day orientation; any additional paid participant overtime needs a revised budget. Confirm taxes, actual usage and remaining development scope before spending.</t>
  </si>
  <si>
    <t>PLANNING ESTIMATES; COMPANY SOURCE: GREEN INVENTORY TABLE ONLY</t>
  </si>
  <si>
    <t>5</t>
  </si>
</sst>
</file>

<file path=xl/styles.xml><?xml version="1.0" encoding="utf-8"?>
<styleSheet xmlns="http://schemas.openxmlformats.org/spreadsheetml/2006/main">
  <numFmts count="1">
    <numFmt numFmtId="164" formatCode="#,##0.00;[Red](#,##0.00);0.00"/>
  </numFmts>
  <fonts count="29">
    <font>
      <sz val="11"/>
      <color theme="1"/>
      <name val="Calibri"/>
      <family val="2"/>
      <scheme val="minor"/>
    </font>
    <font>
      <b/>
      <sz val="10"/>
      <color rgb="FFFFFFFF"/>
      <name val="Arial Narrow"/>
      <family val="2"/>
    </font>
    <font>
      <b/>
      <sz val="12"/>
      <color rgb="FF000000"/>
      <name val="Arial Narrow"/>
      <family val="2"/>
    </font>
    <font>
      <sz val="10.5"/>
      <color rgb="FF000000"/>
      <name val="Arial Narrow"/>
      <family val="2"/>
    </font>
    <font>
      <sz val="11"/>
      <color rgb="FF000000"/>
      <name val="Arial Narrow"/>
      <family val="2"/>
    </font>
    <font>
      <b/>
      <sz val="10.5"/>
      <color rgb="FF000000"/>
      <name val="Arial Narrow"/>
      <family val="2"/>
    </font>
    <font>
      <b/>
      <sz val="8.7"/>
      <color rgb="FF000000"/>
      <name val="Arial Narrow"/>
      <family val="2"/>
    </font>
    <font>
      <sz val="9.3"/>
      <color rgb="FF000000"/>
      <name val="Arial Narrow"/>
      <family val="2"/>
    </font>
    <font>
      <sz val="9"/>
      <color rgb="FF000000"/>
      <name val="Arial Narrow"/>
      <family val="2"/>
    </font>
    <font>
      <b/>
      <sz val="9.3"/>
      <color rgb="FF000000"/>
      <name val="Arial Narrow"/>
      <family val="2"/>
    </font>
    <font>
      <b/>
      <sz val="9"/>
      <color rgb="FF000000"/>
      <name val="Arial Narrow"/>
      <family val="2"/>
    </font>
    <font>
      <sz val="9.2"/>
      <color rgb="FF000000"/>
      <name val="Arial Narrow"/>
      <family val="2"/>
    </font>
    <font>
      <b/>
      <sz val="8.9"/>
      <color rgb="FF000000"/>
      <name val="Arial Narrow"/>
      <family val="2"/>
    </font>
    <font>
      <b/>
      <sz val="11"/>
      <color rgb="FF000000"/>
      <name val="Arial Narrow"/>
      <family val="2"/>
    </font>
    <font>
      <sz val="8.6"/>
      <color rgb="FF000000"/>
      <name val="Arial Narrow"/>
      <family val="2"/>
    </font>
    <font>
      <b/>
      <sz val="10"/>
      <color rgb="FF000000"/>
      <name val="Arial Narrow"/>
      <family val="2"/>
    </font>
    <font>
      <sz val="9.5"/>
      <color rgb="FF000000"/>
      <name val="Arial Narrow"/>
      <family val="2"/>
    </font>
    <font>
      <sz val="8.5"/>
      <color rgb="FF000000"/>
      <name val="Arial Narrow"/>
      <family val="2"/>
    </font>
    <font>
      <sz val="10"/>
      <color rgb="FF000000"/>
      <name val="Arial Narrow"/>
      <family val="2"/>
    </font>
    <font>
      <b/>
      <sz val="14"/>
      <color rgb="FF000000"/>
      <name val="Arial Narrow"/>
      <family val="2"/>
    </font>
    <font>
      <b/>
      <sz val="9.4"/>
      <color rgb="FF000000"/>
      <name val="Arial Narrow"/>
      <family val="2"/>
    </font>
    <font>
      <b/>
      <sz val="8.8"/>
      <color rgb="FF000000"/>
      <name val="Arial Narrow"/>
      <family val="2"/>
    </font>
    <font>
      <sz val="8.8"/>
      <color rgb="FF000000"/>
      <name val="Arial Narrow"/>
      <family val="2"/>
    </font>
    <font>
      <b/>
      <sz val="15"/>
      <color rgb="FF000000"/>
      <name val="Arial Narrow"/>
      <family val="2"/>
    </font>
    <font>
      <b/>
      <sz val="9.5"/>
      <color rgb="FF000000"/>
      <name val="Arial Narrow"/>
      <family val="2"/>
    </font>
    <font>
      <sz val="9.1"/>
      <color rgb="FF000000"/>
      <name val="Arial Narrow"/>
      <family val="2"/>
    </font>
    <font>
      <b/>
      <sz val="13"/>
      <color rgb="FF000000"/>
      <name val="Arial Narrow"/>
      <family val="2"/>
    </font>
    <font>
      <sz val="9.8"/>
      <color rgb="FF000000"/>
      <name val="Arial Narrow"/>
      <family val="2"/>
    </font>
    <font>
      <sz val="8"/>
      <color indexed="81"/>
      <name val="Tahoma"/>
      <family val="2"/>
    </font>
  </fonts>
  <fills count="8">
    <fill>
      <patternFill patternType="none"/>
    </fill>
    <fill>
      <patternFill patternType="gray125"/>
    </fill>
    <fill>
      <patternFill patternType="solid">
        <fgColor rgb="FF6A1839"/>
        <bgColor indexed="64"/>
      </patternFill>
    </fill>
    <fill>
      <patternFill patternType="solid">
        <fgColor rgb="FFEFEFEF"/>
        <bgColor indexed="64"/>
      </patternFill>
    </fill>
    <fill>
      <patternFill patternType="solid">
        <fgColor rgb="FFD9E6F3"/>
        <bgColor indexed="64"/>
      </patternFill>
    </fill>
    <fill>
      <patternFill patternType="solid">
        <fgColor rgb="FF98C37F"/>
        <bgColor indexed="64"/>
      </patternFill>
    </fill>
    <fill>
      <patternFill patternType="solid">
        <fgColor rgb="FFB5D6A4"/>
        <bgColor indexed="64"/>
      </patternFill>
    </fill>
    <fill>
      <patternFill patternType="solid">
        <fgColor rgb="FFFFFFFF"/>
        <bgColor indexed="64"/>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rgb="FF000000"/>
      </left>
      <right style="thin">
        <color rgb="FF000000"/>
      </right>
      <top style="thin">
        <color rgb="FF000000"/>
      </top>
      <bottom style="thin">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57">
    <xf numFmtId="0" fontId="0" fillId="0" borderId="0" xfId="0"/>
    <xf numFmtId="0" fontId="1" fillId="2" borderId="0" xfId="0" applyFont="1" applyFill="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2" fillId="0" borderId="0" xfId="0" applyFont="1" applyAlignment="1">
      <alignment horizontal="center" vertical="top" wrapText="1"/>
    </xf>
    <xf numFmtId="0" fontId="0" fillId="0" borderId="5" xfId="0" applyBorder="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center" vertical="top" wrapText="1"/>
    </xf>
    <xf numFmtId="0" fontId="6" fillId="3" borderId="6" xfId="0" applyFont="1" applyFill="1" applyBorder="1" applyAlignment="1">
      <alignment horizontal="left" vertical="center" wrapText="1"/>
    </xf>
    <xf numFmtId="0" fontId="7" fillId="0" borderId="6" xfId="0" applyFont="1" applyBorder="1" applyAlignment="1">
      <alignment horizontal="left" vertical="center" wrapText="1"/>
    </xf>
    <xf numFmtId="164" fontId="7" fillId="0" borderId="6" xfId="0" applyNumberFormat="1" applyFont="1" applyBorder="1" applyAlignment="1">
      <alignment horizontal="right" vertical="center" wrapText="1"/>
    </xf>
    <xf numFmtId="0" fontId="8" fillId="0" borderId="6" xfId="0" applyFont="1" applyBorder="1" applyAlignment="1">
      <alignment horizontal="left" vertical="center" wrapText="1"/>
    </xf>
    <xf numFmtId="164" fontId="8" fillId="0" borderId="6" xfId="0" applyNumberFormat="1" applyFont="1" applyBorder="1" applyAlignment="1">
      <alignment horizontal="right" vertical="center" wrapText="1"/>
    </xf>
    <xf numFmtId="0" fontId="8" fillId="0" borderId="6" xfId="0" applyFont="1" applyBorder="1" applyAlignment="1">
      <alignment horizontal="center" vertical="center" wrapText="1"/>
    </xf>
    <xf numFmtId="0" fontId="9" fillId="0" borderId="6" xfId="0" applyFont="1" applyBorder="1" applyAlignment="1">
      <alignment horizontal="left" vertical="center" wrapText="1"/>
    </xf>
    <xf numFmtId="164" fontId="9" fillId="0" borderId="6" xfId="0" applyNumberFormat="1" applyFont="1" applyBorder="1" applyAlignment="1">
      <alignment horizontal="right" vertical="center" wrapText="1"/>
    </xf>
    <xf numFmtId="0" fontId="10" fillId="0" borderId="6" xfId="0" applyFont="1" applyBorder="1" applyAlignment="1">
      <alignment horizontal="left" vertical="center" wrapText="1"/>
    </xf>
    <xf numFmtId="164" fontId="10" fillId="0" borderId="6" xfId="0" applyNumberFormat="1" applyFont="1" applyBorder="1" applyAlignment="1">
      <alignment horizontal="right" vertical="center" wrapText="1"/>
    </xf>
    <xf numFmtId="0" fontId="11" fillId="0" borderId="6" xfId="0" applyFont="1" applyBorder="1" applyAlignment="1">
      <alignment horizontal="left" vertical="center" wrapText="1"/>
    </xf>
    <xf numFmtId="0" fontId="12" fillId="3" borderId="6" xfId="0" applyFont="1" applyFill="1" applyBorder="1" applyAlignment="1">
      <alignment horizontal="left" vertical="center" wrapText="1"/>
    </xf>
    <xf numFmtId="0" fontId="13" fillId="0" borderId="0" xfId="0" applyFont="1" applyAlignment="1">
      <alignment horizontal="left" vertical="top" wrapText="1"/>
    </xf>
    <xf numFmtId="0" fontId="10" fillId="3" borderId="6" xfId="0" applyFont="1" applyFill="1" applyBorder="1" applyAlignment="1">
      <alignment horizontal="left" vertical="center" wrapText="1"/>
    </xf>
    <xf numFmtId="0" fontId="14" fillId="0" borderId="6" xfId="0" applyFont="1" applyBorder="1" applyAlignment="1">
      <alignment horizontal="left" vertical="center" wrapText="1"/>
    </xf>
    <xf numFmtId="164" fontId="14" fillId="0" borderId="6" xfId="0" applyNumberFormat="1" applyFont="1" applyBorder="1" applyAlignment="1">
      <alignment horizontal="right" vertical="center" wrapText="1"/>
    </xf>
    <xf numFmtId="0" fontId="15" fillId="0" borderId="0" xfId="0" applyFont="1" applyAlignment="1">
      <alignment horizontal="center" vertical="top" wrapText="1"/>
    </xf>
    <xf numFmtId="0" fontId="16" fillId="0" borderId="6" xfId="0" applyFont="1" applyBorder="1" applyAlignment="1">
      <alignment horizontal="left" vertical="center" wrapText="1"/>
    </xf>
    <xf numFmtId="0" fontId="0" fillId="0" borderId="7" xfId="0" applyBorder="1"/>
    <xf numFmtId="0" fontId="0" fillId="0" borderId="8" xfId="0" applyBorder="1"/>
    <xf numFmtId="0" fontId="0" fillId="0" borderId="9" xfId="0" applyBorder="1"/>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right" vertical="top" wrapText="1"/>
    </xf>
    <xf numFmtId="0" fontId="19" fillId="0" borderId="0" xfId="0" applyFont="1" applyAlignment="1">
      <alignment horizontal="left" vertical="top" wrapText="1"/>
    </xf>
    <xf numFmtId="0" fontId="15" fillId="0" borderId="0" xfId="0" applyFont="1" applyAlignment="1">
      <alignment horizontal="left" vertical="top" wrapText="1"/>
    </xf>
    <xf numFmtId="0" fontId="20" fillId="3" borderId="6" xfId="0" applyFont="1" applyFill="1" applyBorder="1" applyAlignment="1">
      <alignment horizontal="center" vertical="center" wrapText="1"/>
    </xf>
    <xf numFmtId="0" fontId="21" fillId="3" borderId="6" xfId="0" applyFont="1" applyFill="1" applyBorder="1" applyAlignment="1">
      <alignment horizontal="left" vertical="center" wrapText="1"/>
    </xf>
    <xf numFmtId="0" fontId="22" fillId="0" borderId="6" xfId="0" applyFont="1" applyBorder="1" applyAlignment="1">
      <alignment horizontal="left" vertical="center" wrapText="1"/>
    </xf>
    <xf numFmtId="0" fontId="22" fillId="0" borderId="6" xfId="0" applyFont="1" applyBorder="1" applyAlignment="1">
      <alignment horizontal="center" vertical="center" wrapText="1"/>
    </xf>
    <xf numFmtId="164" fontId="22" fillId="0" borderId="6" xfId="0" applyNumberFormat="1" applyFont="1" applyBorder="1" applyAlignment="1">
      <alignment horizontal="right" vertical="center" wrapText="1"/>
    </xf>
    <xf numFmtId="0" fontId="21" fillId="0" borderId="6" xfId="0" applyFont="1" applyBorder="1" applyAlignment="1">
      <alignment horizontal="left" vertical="center" wrapText="1"/>
    </xf>
    <xf numFmtId="164" fontId="21" fillId="0" borderId="6" xfId="0" applyNumberFormat="1" applyFont="1" applyBorder="1" applyAlignment="1">
      <alignment horizontal="right" vertical="center" wrapText="1"/>
    </xf>
    <xf numFmtId="0" fontId="21" fillId="0" borderId="0" xfId="0" applyFont="1" applyAlignment="1">
      <alignment horizontal="left" vertical="top" wrapText="1"/>
    </xf>
    <xf numFmtId="0" fontId="9" fillId="4" borderId="0" xfId="0" applyFont="1" applyFill="1" applyAlignment="1">
      <alignment horizontal="left" vertical="top" wrapText="1"/>
    </xf>
    <xf numFmtId="164" fontId="9" fillId="4" borderId="0" xfId="0" applyNumberFormat="1" applyFont="1" applyFill="1" applyAlignment="1">
      <alignment horizontal="right" vertical="top" wrapText="1"/>
    </xf>
    <xf numFmtId="0" fontId="9" fillId="3" borderId="6" xfId="0" applyFont="1" applyFill="1" applyBorder="1" applyAlignment="1">
      <alignment horizontal="center" vertical="center" wrapText="1"/>
    </xf>
    <xf numFmtId="0" fontId="23" fillId="5" borderId="0" xfId="0" applyFont="1" applyFill="1" applyAlignment="1">
      <alignment horizontal="left" vertical="top" wrapText="1"/>
    </xf>
    <xf numFmtId="0" fontId="24" fillId="6" borderId="6" xfId="0" applyFont="1" applyFill="1" applyBorder="1" applyAlignment="1">
      <alignment horizontal="center" vertical="center" wrapText="1"/>
    </xf>
    <xf numFmtId="0" fontId="25" fillId="7" borderId="6"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18" fillId="0" borderId="0" xfId="0" applyFont="1" applyAlignment="1">
      <alignment horizontal="left" vertical="top" wrapText="1"/>
    </xf>
    <xf numFmtId="0" fontId="26" fillId="0" borderId="0" xfId="0" applyFont="1" applyAlignment="1">
      <alignment horizontal="left" vertical="top" wrapText="1"/>
    </xf>
    <xf numFmtId="0" fontId="8" fillId="0" borderId="6" xfId="0" applyFont="1" applyBorder="1" applyAlignment="1">
      <alignment horizontal="right" vertical="center" wrapText="1"/>
    </xf>
    <xf numFmtId="0" fontId="27" fillId="0" borderId="0" xfId="0" applyFont="1" applyAlignment="1">
      <alignment horizontal="left" vertical="top" wrapText="1"/>
    </xf>
    <xf numFmtId="0" fontId="22" fillId="0" borderId="0" xfId="0" applyFon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sheetPr>
    <tabColor rgb="FF6A1839"/>
    <pageSetUpPr fitToPage="1"/>
  </sheetPr>
  <dimension ref="A1:S61"/>
  <sheetViews>
    <sheetView showGridLines="0" tabSelected="1" zoomScale="90" zoomScaleNormal="90" workbookViewId="0"/>
  </sheetViews>
  <sheetFormatPr defaultRowHeight="15"/>
  <cols>
    <col min="1" max="1" width="8.42578125" customWidth="1"/>
    <col min="2" max="2" width="1.85546875" customWidth="1"/>
    <col min="3" max="3" width="16.5703125" customWidth="1"/>
    <col min="4" max="4" width="3.28515625" customWidth="1"/>
    <col min="5" max="5" width="8" customWidth="1"/>
    <col min="6" max="6" width="4.42578125" customWidth="1"/>
    <col min="7" max="7" width="1" customWidth="1"/>
    <col min="8" max="8" width="9.5703125" customWidth="1"/>
    <col min="9" max="9" width="6.28515625" customWidth="1"/>
    <col min="10" max="10" width="22.28515625" customWidth="1"/>
    <col min="11" max="11" width="9.5703125" customWidth="1"/>
    <col min="12" max="12" width="1.28515625" customWidth="1"/>
    <col min="13" max="13" width="0.140625" customWidth="1"/>
    <col min="14" max="14" width="2.42578125" customWidth="1"/>
    <col min="15" max="15" width="1.5703125" customWidth="1"/>
    <col min="16" max="16" width="5.7109375" customWidth="1"/>
    <col min="17" max="18" width="0.140625" customWidth="1"/>
    <col min="19" max="19" width="2.28515625" customWidth="1"/>
    <col min="20" max="20" width="8.42578125" customWidth="1"/>
  </cols>
  <sheetData>
    <row r="1" spans="2:19" ht="44.25" customHeight="1"/>
    <row r="2" spans="2:19" ht="18" customHeight="1">
      <c r="B2" s="1" t="s">
        <v>0</v>
      </c>
      <c r="C2" s="1"/>
      <c r="D2" s="1"/>
      <c r="E2" s="1"/>
      <c r="F2" s="1"/>
      <c r="G2" s="1"/>
      <c r="H2" s="1"/>
      <c r="I2" s="1"/>
      <c r="J2" s="1"/>
      <c r="K2" s="1"/>
      <c r="L2" s="1"/>
      <c r="M2" s="1"/>
      <c r="N2" s="1"/>
      <c r="O2" s="1"/>
      <c r="P2" s="1"/>
      <c r="Q2" s="1"/>
      <c r="R2" s="1"/>
      <c r="S2" s="1"/>
    </row>
    <row r="3" spans="2:19" ht="20.25" customHeight="1"/>
    <row r="4" spans="2:19" ht="9" customHeight="1">
      <c r="B4" s="2"/>
      <c r="C4" s="3"/>
      <c r="D4" s="3"/>
      <c r="E4" s="3"/>
      <c r="F4" s="3"/>
      <c r="G4" s="3"/>
      <c r="H4" s="3"/>
      <c r="I4" s="3"/>
      <c r="J4" s="3"/>
      <c r="K4" s="3"/>
      <c r="L4" s="3"/>
      <c r="M4" s="3"/>
      <c r="N4" s="3"/>
      <c r="O4" s="3"/>
      <c r="P4" s="3"/>
      <c r="Q4" s="3"/>
      <c r="R4" s="3"/>
      <c r="S4" s="4"/>
    </row>
    <row r="5" spans="2:19" ht="18.75" customHeight="1">
      <c r="B5" s="5"/>
      <c r="C5" s="6" t="s">
        <v>3</v>
      </c>
      <c r="D5" s="6"/>
      <c r="E5" s="6"/>
      <c r="F5" s="6"/>
      <c r="G5" s="6"/>
      <c r="H5" s="6"/>
      <c r="I5" s="6"/>
      <c r="J5" s="6"/>
      <c r="K5" s="6"/>
      <c r="L5" s="6"/>
      <c r="M5" s="6"/>
      <c r="N5" s="6"/>
      <c r="O5" s="6"/>
      <c r="P5" s="6"/>
      <c r="Q5" s="6"/>
      <c r="R5" s="6"/>
      <c r="S5" s="7"/>
    </row>
    <row r="6" spans="2:19" ht="6.75" customHeight="1">
      <c r="B6" s="5"/>
      <c r="S6" s="7"/>
    </row>
    <row r="7" spans="2:19" ht="20.25" customHeight="1">
      <c r="B7" s="5"/>
      <c r="C7" s="8" t="s">
        <v>4</v>
      </c>
      <c r="D7" s="8"/>
      <c r="E7" s="8"/>
      <c r="F7" s="8"/>
      <c r="G7" s="8"/>
      <c r="H7" s="8"/>
      <c r="I7" s="8"/>
      <c r="J7" s="8"/>
      <c r="K7" s="8"/>
      <c r="L7" s="8"/>
      <c r="M7" s="8"/>
      <c r="N7" s="8"/>
      <c r="O7" s="8"/>
      <c r="P7" s="8"/>
      <c r="Q7" s="8"/>
      <c r="R7" s="8"/>
      <c r="S7" s="7"/>
    </row>
    <row r="8" spans="2:19" ht="12.75" customHeight="1">
      <c r="B8" s="5"/>
      <c r="S8" s="7"/>
    </row>
    <row r="9" spans="2:19" ht="0.75" customHeight="1">
      <c r="B9" s="5"/>
      <c r="C9" s="9" t="s">
        <v>5</v>
      </c>
      <c r="D9" s="9"/>
      <c r="E9" s="9"/>
      <c r="F9" s="9"/>
      <c r="G9" s="9"/>
      <c r="H9" s="9"/>
      <c r="S9" s="7"/>
    </row>
    <row r="10" spans="2:19" ht="18.75" customHeight="1">
      <c r="B10" s="5"/>
      <c r="C10" s="9"/>
      <c r="D10" s="9"/>
      <c r="E10" s="9"/>
      <c r="F10" s="9"/>
      <c r="G10" s="9"/>
      <c r="H10" s="9"/>
      <c r="J10" s="10" t="s">
        <v>3</v>
      </c>
      <c r="K10" s="10"/>
      <c r="L10" s="10"/>
      <c r="M10" s="10"/>
      <c r="N10" s="10"/>
      <c r="O10" s="10"/>
      <c r="P10" s="10"/>
      <c r="Q10" s="10"/>
      <c r="R10" s="10"/>
      <c r="S10" s="7"/>
    </row>
    <row r="11" spans="2:19" ht="8.25" customHeight="1">
      <c r="B11" s="5"/>
      <c r="J11" s="10"/>
      <c r="K11" s="10"/>
      <c r="L11" s="10"/>
      <c r="M11" s="10"/>
      <c r="N11" s="10"/>
      <c r="O11" s="10"/>
      <c r="P11" s="10"/>
      <c r="Q11" s="10"/>
      <c r="R11" s="10"/>
      <c r="S11" s="7"/>
    </row>
    <row r="12" spans="2:19" ht="2.25" customHeight="1">
      <c r="B12" s="5"/>
      <c r="C12" s="11" t="s">
        <v>6</v>
      </c>
      <c r="D12" s="11" t="s">
        <v>7</v>
      </c>
      <c r="E12" s="11"/>
      <c r="F12" s="11" t="s">
        <v>8</v>
      </c>
      <c r="G12" s="11" t="s">
        <v>9</v>
      </c>
      <c r="H12" s="11"/>
      <c r="J12" s="10"/>
      <c r="K12" s="10"/>
      <c r="L12" s="10"/>
      <c r="M12" s="10"/>
      <c r="N12" s="10"/>
      <c r="O12" s="10"/>
      <c r="P12" s="10"/>
      <c r="Q12" s="10"/>
      <c r="R12" s="10"/>
      <c r="S12" s="7"/>
    </row>
    <row r="13" spans="2:19" ht="11.25" customHeight="1">
      <c r="B13" s="5"/>
      <c r="C13" s="11"/>
      <c r="D13" s="11"/>
      <c r="E13" s="11"/>
      <c r="F13" s="11"/>
      <c r="G13" s="11"/>
      <c r="H13" s="11"/>
      <c r="S13" s="7"/>
    </row>
    <row r="14" spans="2:19" ht="6" customHeight="1">
      <c r="B14" s="5"/>
      <c r="C14" s="11"/>
      <c r="D14" s="11"/>
      <c r="E14" s="11"/>
      <c r="F14" s="11"/>
      <c r="G14" s="11"/>
      <c r="H14" s="11"/>
      <c r="J14" s="12" t="s">
        <v>5</v>
      </c>
      <c r="K14" s="12"/>
      <c r="L14" s="13">
        <f>IF(ISNUMBER('One Time Cost'!$G$22),'One Time Cost'!$G$22,"")</f>
        <v>107000.0</v>
      </c>
      <c r="M14" s="13"/>
      <c r="N14" s="13"/>
      <c r="O14" s="13"/>
      <c r="P14" s="13"/>
      <c r="Q14" s="13"/>
      <c r="R14" s="13"/>
      <c r="S14" s="7"/>
    </row>
    <row r="15" spans="2:19" ht="12.75" customHeight="1">
      <c r="B15" s="5"/>
      <c r="C15" s="14" t="s">
        <v>10</v>
      </c>
      <c r="D15" s="15">
        <v>10000</v>
      </c>
      <c r="E15" s="15"/>
      <c r="F15" s="16">
        <v>3</v>
      </c>
      <c r="G15" s="15">
        <f>IF(COUNT('One Time Cost'!$D$15,'One Time Cost'!$F$15)=2,'One Time Cost'!$D$15*'One Time Cost'!$F$15,"")</f>
        <v>30000.0</v>
      </c>
      <c r="H15" s="15"/>
      <c r="J15" s="12"/>
      <c r="K15" s="12"/>
      <c r="L15" s="13"/>
      <c r="M15" s="13"/>
      <c r="N15" s="13"/>
      <c r="O15" s="13"/>
      <c r="P15" s="13"/>
      <c r="Q15" s="13"/>
      <c r="R15" s="13"/>
      <c r="S15" s="7"/>
    </row>
    <row r="16" spans="2:19" ht="6" customHeight="1">
      <c r="B16" s="5"/>
      <c r="C16" s="14"/>
      <c r="D16" s="15"/>
      <c r="E16" s="15"/>
      <c r="F16" s="16"/>
      <c r="G16" s="15"/>
      <c r="H16" s="15"/>
      <c r="J16" s="12" t="s">
        <v>15</v>
      </c>
      <c r="K16" s="12"/>
      <c r="L16" s="13">
        <f>IF(ISNUMBER('One Time Cost'!$H$32),'One Time Cost'!$H$32,"")</f>
        <v>4000.0</v>
      </c>
      <c r="M16" s="13"/>
      <c r="N16" s="13"/>
      <c r="O16" s="13"/>
      <c r="P16" s="13"/>
      <c r="Q16" s="13"/>
      <c r="R16" s="13"/>
      <c r="S16" s="7"/>
    </row>
    <row r="17" spans="2:19" ht="12.75" customHeight="1">
      <c r="B17" s="5"/>
      <c r="C17" s="14" t="s">
        <v>11</v>
      </c>
      <c r="D17" s="15">
        <v>20000</v>
      </c>
      <c r="E17" s="15"/>
      <c r="F17" s="16">
        <v>3</v>
      </c>
      <c r="G17" s="15">
        <f>IF(COUNT('One Time Cost'!$D$17,'One Time Cost'!$F$17)=2,'One Time Cost'!$D$17*'One Time Cost'!$F$17,"")</f>
        <v>60000.0</v>
      </c>
      <c r="H17" s="15"/>
      <c r="J17" s="12"/>
      <c r="K17" s="12"/>
      <c r="L17" s="13"/>
      <c r="M17" s="13"/>
      <c r="N17" s="13"/>
      <c r="O17" s="13"/>
      <c r="P17" s="13"/>
      <c r="Q17" s="13"/>
      <c r="R17" s="13"/>
      <c r="S17" s="7"/>
    </row>
    <row r="18" spans="2:19" ht="6" customHeight="1">
      <c r="B18" s="5"/>
      <c r="C18" s="14"/>
      <c r="D18" s="15"/>
      <c r="E18" s="15"/>
      <c r="F18" s="16"/>
      <c r="G18" s="15"/>
      <c r="H18" s="15"/>
      <c r="J18" s="12" t="s">
        <v>25</v>
      </c>
      <c r="K18" s="12"/>
      <c r="L18" s="13">
        <f>IF(ISNUMBER('One Time Cost'!$H$49),'One Time Cost'!$H$49,"")</f>
        <v>3500.0</v>
      </c>
      <c r="M18" s="13"/>
      <c r="N18" s="13"/>
      <c r="O18" s="13"/>
      <c r="P18" s="13"/>
      <c r="Q18" s="13"/>
      <c r="R18" s="13"/>
      <c r="S18" s="7"/>
    </row>
    <row r="19" spans="2:19" ht="18.75" customHeight="1">
      <c r="B19" s="5"/>
      <c r="C19" s="14" t="s">
        <v>12</v>
      </c>
      <c r="D19" s="15">
        <v>5000</v>
      </c>
      <c r="E19" s="15"/>
      <c r="F19" s="16">
        <v>1</v>
      </c>
      <c r="G19" s="15">
        <f>IF(COUNT('One Time Cost'!$D$19,'One Time Cost'!$F$19)=2,'One Time Cost'!$D$19*'One Time Cost'!$F$19,"")</f>
        <v>5000.0</v>
      </c>
      <c r="H19" s="15"/>
      <c r="J19" s="12"/>
      <c r="K19" s="12"/>
      <c r="L19" s="13"/>
      <c r="M19" s="13"/>
      <c r="N19" s="13"/>
      <c r="O19" s="13"/>
      <c r="P19" s="13"/>
      <c r="Q19" s="13"/>
      <c r="R19" s="13"/>
      <c r="S19" s="7"/>
    </row>
    <row r="20" spans="2:19" ht="9" customHeight="1">
      <c r="B20" s="5"/>
      <c r="C20" s="14" t="s">
        <v>13</v>
      </c>
      <c r="D20" s="15">
        <v>6000</v>
      </c>
      <c r="E20" s="15"/>
      <c r="F20" s="16">
        <v>2</v>
      </c>
      <c r="G20" s="15">
        <f>IF(COUNT('One Time Cost'!$D$20,'One Time Cost'!$F$20)=2,'One Time Cost'!$D$20*'One Time Cost'!$F$20,"")</f>
        <v>12000.0</v>
      </c>
      <c r="H20" s="15"/>
      <c r="J20" s="12"/>
      <c r="K20" s="12"/>
      <c r="L20" s="13"/>
      <c r="M20" s="13"/>
      <c r="N20" s="13"/>
      <c r="O20" s="13"/>
      <c r="P20" s="13"/>
      <c r="Q20" s="13"/>
      <c r="R20" s="13"/>
      <c r="S20" s="7"/>
    </row>
    <row r="21" spans="2:19" ht="9.75" customHeight="1">
      <c r="B21" s="5"/>
      <c r="C21" s="14"/>
      <c r="D21" s="15"/>
      <c r="E21" s="15"/>
      <c r="F21" s="16"/>
      <c r="G21" s="15"/>
      <c r="H21" s="15"/>
      <c r="J21" s="17" t="s">
        <v>26</v>
      </c>
      <c r="K21" s="17"/>
      <c r="L21" s="18">
        <f>IF(COUNT('One Time Cost'!$G$22,'One Time Cost'!$H$32,'One Time Cost'!$H$49)=3,SUM('One Time Cost'!$G$22,'One Time Cost'!$H$32,'One Time Cost'!$H$49),"")</f>
        <v>114500.0</v>
      </c>
      <c r="M21" s="18"/>
      <c r="N21" s="18"/>
      <c r="O21" s="18"/>
      <c r="P21" s="18"/>
      <c r="Q21" s="18"/>
      <c r="R21" s="18"/>
      <c r="S21" s="7"/>
    </row>
    <row r="22" spans="2:19" ht="11.25" customHeight="1">
      <c r="B22" s="5"/>
      <c r="C22" s="19" t="s">
        <v>14</v>
      </c>
      <c r="D22" s="19"/>
      <c r="E22" s="19"/>
      <c r="F22" s="19"/>
      <c r="G22" s="20">
        <f>IF(COUNT('One Time Cost'!$G$15,'One Time Cost'!$G$17,'One Time Cost'!$G$19,'One Time Cost'!$G$20)=4,SUM('One Time Cost'!$G$15,'One Time Cost'!$G$17,'One Time Cost'!$G$19,'One Time Cost'!$G$20),"")</f>
        <v>107000.0</v>
      </c>
      <c r="H22" s="20"/>
      <c r="J22" s="17"/>
      <c r="K22" s="17"/>
      <c r="L22" s="18"/>
      <c r="M22" s="18"/>
      <c r="N22" s="18"/>
      <c r="O22" s="18"/>
      <c r="P22" s="18"/>
      <c r="Q22" s="18"/>
      <c r="R22" s="18"/>
      <c r="S22" s="7"/>
    </row>
    <row r="23" spans="2:19" ht="9" customHeight="1">
      <c r="B23" s="5"/>
      <c r="C23" s="19"/>
      <c r="D23" s="19"/>
      <c r="E23" s="19"/>
      <c r="F23" s="19"/>
      <c r="G23" s="20"/>
      <c r="H23" s="20"/>
      <c r="J23" s="21" t="s">
        <v>24</v>
      </c>
      <c r="K23" s="21"/>
      <c r="L23" s="21"/>
      <c r="M23" s="21"/>
      <c r="N23" s="21"/>
      <c r="O23" s="21"/>
      <c r="P23" s="21"/>
      <c r="Q23" s="21"/>
      <c r="R23" s="21"/>
      <c r="S23" s="7"/>
    </row>
    <row r="24" spans="2:19" ht="18.75" customHeight="1">
      <c r="B24" s="5"/>
      <c r="J24" s="21"/>
      <c r="K24" s="21"/>
      <c r="L24" s="21"/>
      <c r="M24" s="21"/>
      <c r="N24" s="21"/>
      <c r="O24" s="21"/>
      <c r="P24" s="21"/>
      <c r="Q24" s="21"/>
      <c r="R24" s="21"/>
      <c r="S24" s="7"/>
    </row>
    <row r="25" spans="2:19" ht="15.75" customHeight="1">
      <c r="B25" s="5"/>
      <c r="C25" s="9" t="s">
        <v>15</v>
      </c>
      <c r="D25" s="9"/>
      <c r="E25" s="9"/>
      <c r="F25" s="9"/>
      <c r="G25" s="9"/>
      <c r="H25" s="9"/>
      <c r="J25" s="21"/>
      <c r="K25" s="21"/>
      <c r="L25" s="21"/>
      <c r="M25" s="21"/>
      <c r="N25" s="21"/>
      <c r="O25" s="21"/>
      <c r="P25" s="21"/>
      <c r="Q25" s="21"/>
      <c r="R25" s="21"/>
      <c r="S25" s="7"/>
    </row>
    <row r="26" spans="2:19" ht="3.75" customHeight="1">
      <c r="B26" s="5"/>
      <c r="C26" s="9"/>
      <c r="D26" s="9"/>
      <c r="E26" s="9"/>
      <c r="F26" s="9"/>
      <c r="G26" s="9"/>
      <c r="H26" s="9"/>
      <c r="S26" s="7"/>
    </row>
    <row r="27" spans="2:19" ht="9" customHeight="1">
      <c r="B27" s="5"/>
      <c r="S27" s="7"/>
    </row>
    <row r="28" spans="2:19" ht="18.75" customHeight="1">
      <c r="B28" s="5"/>
      <c r="C28" s="22" t="s">
        <v>6</v>
      </c>
      <c r="D28" s="22"/>
      <c r="E28" s="22" t="s">
        <v>16</v>
      </c>
      <c r="F28" s="22"/>
      <c r="G28" s="22"/>
      <c r="H28" s="22" t="s">
        <v>9</v>
      </c>
      <c r="S28" s="7"/>
    </row>
    <row r="29" spans="2:19" ht="18.75" customHeight="1">
      <c r="B29" s="5"/>
      <c r="C29" s="14" t="s">
        <v>17</v>
      </c>
      <c r="D29" s="14"/>
      <c r="E29" s="15">
        <v>1500</v>
      </c>
      <c r="F29" s="15"/>
      <c r="G29" s="15"/>
      <c r="H29" s="15">
        <f>IF(COUNT('One Time Cost'!$E$29,'Input Details'!$C$7)=2,'One Time Cost'!$E$29*'Input Details'!$C$7,"")</f>
        <v>3000.0</v>
      </c>
      <c r="S29" s="7"/>
    </row>
    <row r="30" spans="2:19" ht="9.75" customHeight="1">
      <c r="B30" s="5"/>
      <c r="C30" s="14" t="s">
        <v>18</v>
      </c>
      <c r="D30" s="14"/>
      <c r="E30" s="15">
        <v>1000</v>
      </c>
      <c r="F30" s="15"/>
      <c r="G30" s="15"/>
      <c r="H30" s="15">
        <f>IF(ISNUMBER('One Time Cost'!$E$30),'One Time Cost'!$E$30,"")</f>
        <v>1000</v>
      </c>
      <c r="S30" s="7"/>
    </row>
    <row r="31" spans="2:19" ht="9" customHeight="1">
      <c r="B31" s="5"/>
      <c r="C31" s="14"/>
      <c r="D31" s="14"/>
      <c r="E31" s="15"/>
      <c r="F31" s="15"/>
      <c r="G31" s="15"/>
      <c r="H31" s="15"/>
      <c r="J31" s="23" t="s">
        <v>27</v>
      </c>
      <c r="K31" s="23"/>
      <c r="L31" s="23"/>
      <c r="M31" s="23"/>
      <c r="N31" s="23"/>
      <c r="O31" s="23"/>
      <c r="P31" s="23"/>
      <c r="Q31" s="23"/>
      <c r="R31" s="23"/>
      <c r="S31" s="7"/>
    </row>
    <row r="32" spans="2:19" ht="11.25" customHeight="1">
      <c r="B32" s="5"/>
      <c r="C32" s="19" t="s">
        <v>14</v>
      </c>
      <c r="D32" s="19"/>
      <c r="E32" s="19"/>
      <c r="F32" s="19"/>
      <c r="G32" s="19"/>
      <c r="H32" s="20">
        <f>IF(COUNT('One Time Cost'!$H$29,'One Time Cost'!$H$30)=2,SUM('One Time Cost'!$H$29,'One Time Cost'!$H$30),"")</f>
        <v>4000.0</v>
      </c>
      <c r="J32" s="23"/>
      <c r="K32" s="23"/>
      <c r="L32" s="23"/>
      <c r="M32" s="23"/>
      <c r="N32" s="23"/>
      <c r="O32" s="23"/>
      <c r="P32" s="23"/>
      <c r="Q32" s="23"/>
      <c r="R32" s="23"/>
      <c r="S32" s="7"/>
    </row>
    <row r="33" spans="2:19" ht="0.75" customHeight="1">
      <c r="B33" s="5"/>
      <c r="C33" s="19"/>
      <c r="D33" s="19"/>
      <c r="E33" s="19"/>
      <c r="F33" s="19"/>
      <c r="G33" s="19"/>
      <c r="H33" s="20"/>
      <c r="S33" s="7"/>
    </row>
    <row r="34" spans="2:19" ht="8.25" customHeight="1">
      <c r="B34" s="5"/>
      <c r="C34" s="19"/>
      <c r="D34" s="19"/>
      <c r="E34" s="19"/>
      <c r="F34" s="19"/>
      <c r="G34" s="19"/>
      <c r="H34" s="20"/>
      <c r="J34" s="24" t="s">
        <v>6</v>
      </c>
      <c r="K34" s="24" t="s">
        <v>29</v>
      </c>
      <c r="L34" s="24"/>
      <c r="M34" s="24"/>
      <c r="N34" s="24" t="s">
        <v>30</v>
      </c>
      <c r="O34" s="24"/>
      <c r="P34" s="24"/>
      <c r="Q34" s="24"/>
      <c r="R34" s="24"/>
      <c r="S34" s="7"/>
    </row>
    <row r="35" spans="2:19" ht="11.25" customHeight="1">
      <c r="B35" s="5"/>
      <c r="J35" s="24"/>
      <c r="K35" s="24"/>
      <c r="L35" s="24"/>
      <c r="M35" s="24"/>
      <c r="N35" s="24"/>
      <c r="O35" s="24"/>
      <c r="P35" s="24"/>
      <c r="Q35" s="24"/>
      <c r="R35" s="24"/>
      <c r="S35" s="7"/>
    </row>
    <row r="36" spans="2:19" ht="11.25" customHeight="1">
      <c r="B36" s="5"/>
      <c r="J36" s="25" t="s">
        <v>31</v>
      </c>
      <c r="K36" s="26">
        <v>750</v>
      </c>
      <c r="L36" s="26"/>
      <c r="M36" s="26"/>
      <c r="N36" s="26">
        <f>IF(ISNUMBER('One Time Cost'!$K$36),'One Time Cost'!$K$36*12,"")</f>
        <v>9000.0</v>
      </c>
      <c r="O36" s="26"/>
      <c r="P36" s="26"/>
      <c r="Q36" s="26"/>
      <c r="R36" s="26"/>
      <c r="S36" s="7"/>
    </row>
    <row r="37" spans="2:19" ht="8.25" customHeight="1">
      <c r="B37" s="5"/>
      <c r="C37" s="8" t="s">
        <v>19</v>
      </c>
      <c r="D37" s="8"/>
      <c r="E37" s="8"/>
      <c r="F37" s="8"/>
      <c r="G37" s="8"/>
      <c r="H37" s="8"/>
      <c r="J37" s="25"/>
      <c r="K37" s="26"/>
      <c r="L37" s="26"/>
      <c r="M37" s="26"/>
      <c r="N37" s="26"/>
      <c r="O37" s="26"/>
      <c r="P37" s="26"/>
      <c r="Q37" s="26"/>
      <c r="R37" s="26"/>
      <c r="S37" s="7"/>
    </row>
    <row r="38" spans="2:19" ht="12" customHeight="1">
      <c r="B38" s="5"/>
      <c r="C38" s="8"/>
      <c r="D38" s="8"/>
      <c r="E38" s="8"/>
      <c r="F38" s="8"/>
      <c r="G38" s="8"/>
      <c r="H38" s="8"/>
      <c r="J38" s="25" t="s">
        <v>32</v>
      </c>
      <c r="K38" s="26">
        <f>IF(COUNT('Input Details'!$C$12,'Input Details'!$C$11)=2,'Input Details'!$C$12*'Input Details'!$C$11,"")</f>
        <v>1625.0</v>
      </c>
      <c r="L38" s="26"/>
      <c r="M38" s="26"/>
      <c r="N38" s="26">
        <f>IF(ISNUMBER('One Time Cost'!$K$38),'One Time Cost'!$K$38*12,"")</f>
        <v>19500.0</v>
      </c>
      <c r="O38" s="26"/>
      <c r="P38" s="26"/>
      <c r="Q38" s="26"/>
      <c r="R38" s="26"/>
      <c r="S38" s="7"/>
    </row>
    <row r="39" spans="2:19" ht="6.75" customHeight="1">
      <c r="B39" s="5"/>
      <c r="J39" s="25"/>
      <c r="K39" s="26"/>
      <c r="L39" s="26"/>
      <c r="M39" s="26"/>
      <c r="N39" s="26"/>
      <c r="O39" s="26"/>
      <c r="P39" s="26"/>
      <c r="Q39" s="26"/>
      <c r="R39" s="26"/>
      <c r="S39" s="7"/>
    </row>
    <row r="40" spans="2:19" ht="3" customHeight="1">
      <c r="B40" s="5"/>
      <c r="J40" s="25" t="s">
        <v>33</v>
      </c>
      <c r="K40" s="26">
        <v>0</v>
      </c>
      <c r="L40" s="26"/>
      <c r="M40" s="26"/>
      <c r="N40" s="26">
        <f>IF(ISNUMBER('One Time Cost'!$K$40),'One Time Cost'!$K$40*12,"")</f>
        <v>0.0</v>
      </c>
      <c r="O40" s="26"/>
      <c r="P40" s="26"/>
      <c r="Q40" s="26"/>
      <c r="R40" s="26"/>
      <c r="S40" s="7"/>
    </row>
    <row r="41" spans="2:19" ht="15.75" customHeight="1">
      <c r="B41" s="5"/>
      <c r="C41" s="24" t="s">
        <v>6</v>
      </c>
      <c r="D41" s="24"/>
      <c r="E41" s="24" t="s">
        <v>20</v>
      </c>
      <c r="F41" s="24"/>
      <c r="G41" s="24"/>
      <c r="H41" s="24" t="s">
        <v>9</v>
      </c>
      <c r="J41" s="25"/>
      <c r="K41" s="26"/>
      <c r="L41" s="26"/>
      <c r="M41" s="26"/>
      <c r="N41" s="26"/>
      <c r="O41" s="26"/>
      <c r="P41" s="26"/>
      <c r="Q41" s="26"/>
      <c r="R41" s="26"/>
      <c r="S41" s="7"/>
    </row>
    <row r="42" spans="2:19" ht="3" customHeight="1">
      <c r="B42" s="5"/>
      <c r="C42" s="24"/>
      <c r="D42" s="24"/>
      <c r="E42" s="24"/>
      <c r="F42" s="24"/>
      <c r="G42" s="24"/>
      <c r="H42" s="24"/>
      <c r="J42" s="25" t="s">
        <v>34</v>
      </c>
      <c r="K42" s="26">
        <v>200</v>
      </c>
      <c r="L42" s="26"/>
      <c r="M42" s="26"/>
      <c r="N42" s="26">
        <f>IF(ISNUMBER('One Time Cost'!$K$42),'One Time Cost'!$K$42*12,"")</f>
        <v>2400.0</v>
      </c>
      <c r="O42" s="26"/>
      <c r="P42" s="26"/>
      <c r="Q42" s="26"/>
      <c r="R42" s="26"/>
      <c r="S42" s="7"/>
    </row>
    <row r="43" spans="2:19" ht="15.75" customHeight="1">
      <c r="B43" s="5"/>
      <c r="C43" s="14" t="s">
        <v>21</v>
      </c>
      <c r="D43" s="14"/>
      <c r="E43" s="15">
        <v>1000</v>
      </c>
      <c r="F43" s="15"/>
      <c r="G43" s="15"/>
      <c r="H43" s="15">
        <f>IF(COUNT('One Time Cost'!$E$43,'Input Details'!$C$8)=2,'One Time Cost'!$E$43*'Input Details'!$C$8,"")</f>
        <v>1000.0</v>
      </c>
      <c r="J43" s="25"/>
      <c r="K43" s="26"/>
      <c r="L43" s="26"/>
      <c r="M43" s="26"/>
      <c r="N43" s="26"/>
      <c r="O43" s="26"/>
      <c r="P43" s="26"/>
      <c r="Q43" s="26"/>
      <c r="R43" s="26"/>
      <c r="S43" s="7"/>
    </row>
    <row r="44" spans="2:19" ht="3" customHeight="1">
      <c r="B44" s="5"/>
      <c r="C44" s="14"/>
      <c r="D44" s="14"/>
      <c r="E44" s="15"/>
      <c r="F44" s="15"/>
      <c r="G44" s="15"/>
      <c r="H44" s="15"/>
      <c r="J44" s="25" t="s">
        <v>35</v>
      </c>
      <c r="K44" s="26">
        <v>900</v>
      </c>
      <c r="L44" s="26"/>
      <c r="M44" s="26"/>
      <c r="N44" s="26">
        <f>IF(ISNUMBER('One Time Cost'!$K$44),'One Time Cost'!$K$44*1,"")</f>
        <v>900.0</v>
      </c>
      <c r="O44" s="26"/>
      <c r="P44" s="26"/>
      <c r="Q44" s="26"/>
      <c r="R44" s="26"/>
      <c r="S44" s="7"/>
    </row>
    <row r="45" spans="2:19" ht="15.75" customHeight="1">
      <c r="B45" s="5"/>
      <c r="C45" s="14" t="s">
        <v>22</v>
      </c>
      <c r="D45" s="14"/>
      <c r="E45" s="15">
        <v>2500</v>
      </c>
      <c r="F45" s="15"/>
      <c r="G45" s="15"/>
      <c r="H45" s="15">
        <f>IF(COUNT('One Time Cost'!$E$45,'Input Details'!$C$9)=2,'One Time Cost'!$E$45*'Input Details'!$C$9,"")</f>
        <v>2500.0</v>
      </c>
      <c r="J45" s="25"/>
      <c r="K45" s="26"/>
      <c r="L45" s="26"/>
      <c r="M45" s="26"/>
      <c r="N45" s="26"/>
      <c r="O45" s="26"/>
      <c r="P45" s="26"/>
      <c r="Q45" s="26"/>
      <c r="R45" s="26"/>
      <c r="S45" s="7"/>
    </row>
    <row r="46" spans="2:19" ht="3" customHeight="1">
      <c r="B46" s="5"/>
      <c r="C46" s="14"/>
      <c r="D46" s="14"/>
      <c r="E46" s="15"/>
      <c r="F46" s="15"/>
      <c r="G46" s="15"/>
      <c r="H46" s="15"/>
      <c r="J46" s="25" t="s">
        <v>36</v>
      </c>
      <c r="K46" s="26">
        <v>0</v>
      </c>
      <c r="L46" s="26"/>
      <c r="M46" s="26"/>
      <c r="N46" s="26">
        <f>IF(ISNUMBER('One Time Cost'!$K$46),'One Time Cost'!$K$46*1,"")</f>
        <v>0.0</v>
      </c>
      <c r="O46" s="26"/>
      <c r="P46" s="26"/>
      <c r="Q46" s="26"/>
      <c r="R46" s="26"/>
      <c r="S46" s="7"/>
    </row>
    <row r="47" spans="2:19" ht="15.75" customHeight="1">
      <c r="B47" s="5"/>
      <c r="C47" s="14" t="s">
        <v>23</v>
      </c>
      <c r="D47" s="14"/>
      <c r="E47" s="15">
        <v>0</v>
      </c>
      <c r="F47" s="15"/>
      <c r="G47" s="15"/>
      <c r="H47" s="15">
        <f>IF(COUNT('One Time Cost'!$E$47,'Input Details'!$C$10)=2,'One Time Cost'!$E$47*'Input Details'!$C$10,"")</f>
        <v>0.0</v>
      </c>
      <c r="J47" s="25"/>
      <c r="K47" s="26"/>
      <c r="L47" s="26"/>
      <c r="M47" s="26"/>
      <c r="N47" s="26"/>
      <c r="O47" s="26"/>
      <c r="P47" s="26"/>
      <c r="Q47" s="26"/>
      <c r="R47" s="26"/>
      <c r="S47" s="7"/>
    </row>
    <row r="48" spans="2:19" ht="20.25" customHeight="1">
      <c r="B48" s="5"/>
      <c r="C48" s="14"/>
      <c r="D48" s="14"/>
      <c r="E48" s="15"/>
      <c r="F48" s="15"/>
      <c r="G48" s="15"/>
      <c r="H48" s="15"/>
      <c r="J48" s="19" t="s">
        <v>14</v>
      </c>
      <c r="K48" s="19"/>
      <c r="L48" s="19"/>
      <c r="M48" s="19"/>
      <c r="N48" s="20">
        <f>IF(COUNT('One Time Cost'!$N$36,'One Time Cost'!$N$38,'One Time Cost'!$N$40,'One Time Cost'!$N$42,'One Time Cost'!$N$44,'One Time Cost'!$N$46)=6,SUM('One Time Cost'!$N$36,'One Time Cost'!$N$38,'One Time Cost'!$N$40,'One Time Cost'!$N$42,'One Time Cost'!$N$44,'One Time Cost'!$N$46),"")</f>
        <v>31800.0</v>
      </c>
      <c r="O48" s="20"/>
      <c r="P48" s="20"/>
      <c r="Q48" s="20"/>
      <c r="R48" s="20"/>
      <c r="S48" s="7"/>
    </row>
    <row r="49" spans="2:19" ht="20.25" customHeight="1">
      <c r="B49" s="5"/>
      <c r="C49" s="19" t="s">
        <v>14</v>
      </c>
      <c r="D49" s="19"/>
      <c r="E49" s="19"/>
      <c r="F49" s="19"/>
      <c r="G49" s="19"/>
      <c r="H49" s="20">
        <f>IF(COUNT('One Time Cost'!$H$43,'One Time Cost'!$H$45,'One Time Cost'!$H$47)=3,SUM('One Time Cost'!$H$43,'One Time Cost'!$H$45,'One Time Cost'!$H$47),"")</f>
        <v>3500.0</v>
      </c>
      <c r="S49" s="7"/>
    </row>
    <row r="50" spans="2:19">
      <c r="B50" s="5"/>
      <c r="S50" s="7"/>
    </row>
    <row r="51" spans="2:19" ht="3.75" customHeight="1">
      <c r="B51" s="5"/>
      <c r="M51" s="2"/>
      <c r="N51" s="3"/>
      <c r="O51" s="3"/>
      <c r="P51" s="3"/>
      <c r="Q51" s="4"/>
      <c r="S51" s="7"/>
    </row>
    <row r="52" spans="2:19" ht="8.25" customHeight="1">
      <c r="B52" s="5"/>
      <c r="M52" s="5"/>
      <c r="N52" s="27" t="s">
        <v>37</v>
      </c>
      <c r="O52" s="27"/>
      <c r="P52" s="27"/>
      <c r="Q52" s="7"/>
      <c r="S52" s="7"/>
    </row>
    <row r="53" spans="2:19" ht="20.25" customHeight="1">
      <c r="B53" s="5"/>
      <c r="C53" s="28" t="s">
        <v>24</v>
      </c>
      <c r="D53" s="28"/>
      <c r="E53" s="28"/>
      <c r="F53" s="28"/>
      <c r="G53" s="28"/>
      <c r="H53" s="28"/>
      <c r="M53" s="5"/>
      <c r="N53" s="27"/>
      <c r="O53" s="27"/>
      <c r="P53" s="27"/>
      <c r="Q53" s="7"/>
      <c r="S53" s="7"/>
    </row>
    <row r="54" spans="2:19" ht="3.75" customHeight="1">
      <c r="B54" s="5"/>
      <c r="C54" s="28"/>
      <c r="D54" s="28"/>
      <c r="E54" s="28"/>
      <c r="F54" s="28"/>
      <c r="G54" s="28"/>
      <c r="H54" s="28"/>
      <c r="M54" s="29"/>
      <c r="N54" s="30"/>
      <c r="O54" s="30"/>
      <c r="P54" s="30"/>
      <c r="Q54" s="31"/>
      <c r="S54" s="7"/>
    </row>
    <row r="55" spans="2:19" ht="18" customHeight="1">
      <c r="B55" s="5"/>
      <c r="C55" s="28"/>
      <c r="D55" s="28"/>
      <c r="E55" s="28"/>
      <c r="F55" s="28"/>
      <c r="G55" s="28"/>
      <c r="H55" s="28"/>
      <c r="S55" s="7"/>
    </row>
    <row r="56" spans="2:19" ht="9.75" customHeight="1">
      <c r="B56" s="29"/>
      <c r="C56" s="30"/>
      <c r="D56" s="30"/>
      <c r="E56" s="30"/>
      <c r="F56" s="30"/>
      <c r="G56" s="30"/>
      <c r="H56" s="30"/>
      <c r="I56" s="30"/>
      <c r="J56" s="30"/>
      <c r="K56" s="30"/>
      <c r="L56" s="30"/>
      <c r="M56" s="30"/>
      <c r="N56" s="30"/>
      <c r="O56" s="30"/>
      <c r="P56" s="30"/>
      <c r="Q56" s="30"/>
      <c r="R56" s="30"/>
      <c r="S56" s="31"/>
    </row>
    <row r="57" spans="2:19" ht="21" customHeight="1"/>
    <row r="58" spans="2:19" ht="30.75" customHeight="1">
      <c r="B58" s="32" t="s">
        <v>28</v>
      </c>
      <c r="C58" s="32"/>
      <c r="D58" s="32"/>
      <c r="E58" s="32"/>
      <c r="F58" s="32"/>
      <c r="G58" s="32"/>
      <c r="H58" s="32"/>
      <c r="I58" s="32"/>
      <c r="J58" s="32"/>
      <c r="K58" s="32"/>
      <c r="L58" s="32"/>
      <c r="M58" s="32"/>
      <c r="N58" s="32"/>
      <c r="O58" s="32"/>
      <c r="P58" s="32"/>
      <c r="Q58" s="32"/>
      <c r="R58" s="32"/>
      <c r="S58" s="32"/>
    </row>
    <row r="59" spans="2:19" ht="87" customHeight="1"/>
    <row r="60" spans="2:19" ht="14.25" customHeight="1">
      <c r="B60" s="33" t="s">
        <v>1</v>
      </c>
      <c r="C60" s="33"/>
      <c r="D60" s="33"/>
      <c r="E60" s="33"/>
      <c r="F60" s="33"/>
      <c r="G60" s="33"/>
      <c r="H60" s="33"/>
      <c r="I60" s="33"/>
      <c r="J60" s="33"/>
      <c r="K60" s="33"/>
      <c r="L60" s="33"/>
      <c r="M60" s="33"/>
      <c r="N60" s="33"/>
      <c r="P60" s="34" t="s">
        <v>2</v>
      </c>
      <c r="Q60" s="34"/>
      <c r="R60" s="34"/>
      <c r="S60" s="34"/>
    </row>
    <row r="61" spans="2:19" ht="27" customHeight="1"/>
  </sheetData>
  <mergeCells count="87">
    <mergeCell ref="B2:S2"/>
    <mergeCell ref="B60:N60"/>
    <mergeCell ref="P60:S60"/>
    <mergeCell ref="C5:R5"/>
    <mergeCell ref="C7:R7"/>
    <mergeCell ref="C9:H10"/>
    <mergeCell ref="C12:C14"/>
    <mergeCell ref="D12:E14"/>
    <mergeCell ref="F12:F14"/>
    <mergeCell ref="G12:H14"/>
    <mergeCell ref="C15:C16"/>
    <mergeCell ref="D15:E16"/>
    <mergeCell ref="F15:F16"/>
    <mergeCell ref="G15:H16"/>
    <mergeCell ref="C17:C18"/>
    <mergeCell ref="D17:E18"/>
    <mergeCell ref="F17:F18"/>
    <mergeCell ref="G17:H18"/>
    <mergeCell ref="D19:E19"/>
    <mergeCell ref="G19:H19"/>
    <mergeCell ref="C20:C21"/>
    <mergeCell ref="D20:E21"/>
    <mergeCell ref="F20:F21"/>
    <mergeCell ref="G20:H21"/>
    <mergeCell ref="C22:F23"/>
    <mergeCell ref="G22:H23"/>
    <mergeCell ref="C25:H26"/>
    <mergeCell ref="C28:D28"/>
    <mergeCell ref="E28:G28"/>
    <mergeCell ref="C29:D29"/>
    <mergeCell ref="E29:G29"/>
    <mergeCell ref="C30:D31"/>
    <mergeCell ref="E30:G31"/>
    <mergeCell ref="H30:H31"/>
    <mergeCell ref="C32:G34"/>
    <mergeCell ref="H32:H34"/>
    <mergeCell ref="C37:H38"/>
    <mergeCell ref="C41:D42"/>
    <mergeCell ref="E41:G42"/>
    <mergeCell ref="H41:H42"/>
    <mergeCell ref="C43:D44"/>
    <mergeCell ref="E43:G44"/>
    <mergeCell ref="H43:H44"/>
    <mergeCell ref="C45:D46"/>
    <mergeCell ref="E45:G46"/>
    <mergeCell ref="H45:H46"/>
    <mergeCell ref="C47:D48"/>
    <mergeCell ref="E47:G48"/>
    <mergeCell ref="H47:H48"/>
    <mergeCell ref="C49:G49"/>
    <mergeCell ref="C53:H55"/>
    <mergeCell ref="J10:R12"/>
    <mergeCell ref="J14:K15"/>
    <mergeCell ref="L14:R15"/>
    <mergeCell ref="J16:K17"/>
    <mergeCell ref="L16:R17"/>
    <mergeCell ref="J18:K20"/>
    <mergeCell ref="L18:R20"/>
    <mergeCell ref="J21:K22"/>
    <mergeCell ref="L21:R22"/>
    <mergeCell ref="J23:R25"/>
    <mergeCell ref="J31:R32"/>
    <mergeCell ref="B58:S58"/>
    <mergeCell ref="J34:J35"/>
    <mergeCell ref="K34:M35"/>
    <mergeCell ref="N34:R35"/>
    <mergeCell ref="J36:J37"/>
    <mergeCell ref="K36:M37"/>
    <mergeCell ref="N36:R37"/>
    <mergeCell ref="J38:J39"/>
    <mergeCell ref="K38:M39"/>
    <mergeCell ref="N38:R39"/>
    <mergeCell ref="J40:J41"/>
    <mergeCell ref="K40:M41"/>
    <mergeCell ref="N40:R41"/>
    <mergeCell ref="J42:J43"/>
    <mergeCell ref="K42:M43"/>
    <mergeCell ref="N42:R43"/>
    <mergeCell ref="J44:J45"/>
    <mergeCell ref="K44:M45"/>
    <mergeCell ref="N44:R45"/>
    <mergeCell ref="J46:J47"/>
    <mergeCell ref="K46:M47"/>
    <mergeCell ref="N46:R47"/>
    <mergeCell ref="J48:M48"/>
    <mergeCell ref="N48:R48"/>
    <mergeCell ref="N52:P53"/>
  </mergeCells>
  <dataValidations count="18">
    <dataValidation type="decimal" operator="greaterThanOrEqual" allowBlank="1" showInputMessage="1" showErrorMessage="1" error="Enter a documented non-negative number or leave blank." sqref="D15:E16">
      <formula1>0</formula1>
    </dataValidation>
    <dataValidation type="decimal" operator="greaterThanOrEqual" allowBlank="1" showInputMessage="1" showErrorMessage="1" error="Enter a documented non-negative number or leave blank." sqref="F15:F16">
      <formula1>0</formula1>
    </dataValidation>
    <dataValidation type="decimal" operator="greaterThanOrEqual" allowBlank="1" showInputMessage="1" showErrorMessage="1" error="Enter a documented non-negative number or leave blank." sqref="D17:E18">
      <formula1>0</formula1>
    </dataValidation>
    <dataValidation type="decimal" operator="greaterThanOrEqual" allowBlank="1" showInputMessage="1" showErrorMessage="1" error="Enter a documented non-negative number or leave blank." sqref="F17:F18">
      <formula1>0</formula1>
    </dataValidation>
    <dataValidation type="decimal" operator="greaterThanOrEqual" allowBlank="1" showInputMessage="1" showErrorMessage="1" error="Enter a documented non-negative number or leave blank." sqref="D19:E19">
      <formula1>0</formula1>
    </dataValidation>
    <dataValidation type="decimal" operator="greaterThanOrEqual" allowBlank="1" showInputMessage="1" showErrorMessage="1" error="Enter a documented non-negative number or leave blank." sqref="F19">
      <formula1>0</formula1>
    </dataValidation>
    <dataValidation type="decimal" operator="greaterThanOrEqual" allowBlank="1" showInputMessage="1" showErrorMessage="1" error="Enter a documented non-negative number or leave blank." sqref="D20:E21">
      <formula1>0</formula1>
    </dataValidation>
    <dataValidation type="decimal" operator="greaterThanOrEqual" allowBlank="1" showInputMessage="1" showErrorMessage="1" error="Enter a documented non-negative number or leave blank." sqref="F20:F21">
      <formula1>0</formula1>
    </dataValidation>
    <dataValidation type="decimal" operator="greaterThanOrEqual" allowBlank="1" showInputMessage="1" showErrorMessage="1" error="Enter a documented non-negative number or leave blank." sqref="E29:G29">
      <formula1>0</formula1>
    </dataValidation>
    <dataValidation type="decimal" operator="greaterThanOrEqual" allowBlank="1" showInputMessage="1" showErrorMessage="1" error="Enter a documented non-negative number or leave blank." sqref="E30:G31">
      <formula1>0</formula1>
    </dataValidation>
    <dataValidation type="decimal" operator="greaterThanOrEqual" allowBlank="1" showInputMessage="1" showErrorMessage="1" error="Enter a documented non-negative number or leave blank." sqref="E43:G44">
      <formula1>0</formula1>
    </dataValidation>
    <dataValidation type="decimal" operator="greaterThanOrEqual" allowBlank="1" showInputMessage="1" showErrorMessage="1" error="Enter a documented non-negative number or leave blank." sqref="E45:G46">
      <formula1>0</formula1>
    </dataValidation>
    <dataValidation type="decimal" operator="greaterThanOrEqual" allowBlank="1" showInputMessage="1" showErrorMessage="1" error="Enter a documented non-negative number or leave blank." sqref="E47:G48">
      <formula1>0</formula1>
    </dataValidation>
    <dataValidation type="decimal" operator="greaterThanOrEqual" allowBlank="1" showInputMessage="1" showErrorMessage="1" error="Enter a documented non-negative number or leave blank." sqref="K36:M37">
      <formula1>0</formula1>
    </dataValidation>
    <dataValidation type="decimal" operator="greaterThanOrEqual" allowBlank="1" showInputMessage="1" showErrorMessage="1" error="Enter a documented non-negative number or leave blank." sqref="K40:M41">
      <formula1>0</formula1>
    </dataValidation>
    <dataValidation type="decimal" operator="greaterThanOrEqual" allowBlank="1" showInputMessage="1" showErrorMessage="1" error="Enter a documented non-negative number or leave blank." sqref="K42:M43">
      <formula1>0</formula1>
    </dataValidation>
    <dataValidation type="decimal" operator="greaterThanOrEqual" allowBlank="1" showInputMessage="1" showErrorMessage="1" error="Enter a documented non-negative number or leave blank." sqref="K44:M45">
      <formula1>0</formula1>
    </dataValidation>
    <dataValidation type="decimal" operator="greaterThanOrEqual" allowBlank="1" showInputMessage="1" showErrorMessage="1" error="Enter a documented non-negative number or leave blank." sqref="K46:M47">
      <formula1>0</formula1>
    </dataValidation>
  </dataValidations>
  <pageMargins left="0" right="0" top="0" bottom="0"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sheetPr>
    <tabColor rgb="FF6A1839"/>
    <pageSetUpPr fitToPage="1"/>
  </sheetPr>
  <dimension ref="A1:O35"/>
  <sheetViews>
    <sheetView showGridLines="0" zoomScale="90" zoomScaleNormal="90" workbookViewId="0"/>
  </sheetViews>
  <sheetFormatPr defaultRowHeight="15"/>
  <cols>
    <col min="1" max="1" width="8.42578125" customWidth="1"/>
    <col min="2" max="2" width="1.85546875" customWidth="1"/>
    <col min="3" max="3" width="19.85546875" customWidth="1"/>
    <col min="4" max="4" width="13.28515625" customWidth="1"/>
    <col min="5" max="5" width="9.5703125" customWidth="1"/>
    <col min="6" max="6" width="6.28515625" customWidth="1"/>
    <col min="7" max="7" width="22.28515625" customWidth="1"/>
    <col min="8" max="8" width="10.85546875" customWidth="1"/>
    <col min="9" max="9" width="0.140625" customWidth="1"/>
    <col min="10" max="10" width="2.42578125" customWidth="1"/>
    <col min="11" max="11" width="1.5703125" customWidth="1"/>
    <col min="12" max="12" width="5.7109375" customWidth="1"/>
    <col min="13" max="14" width="0.140625" customWidth="1"/>
    <col min="15" max="15" width="2.28515625" customWidth="1"/>
    <col min="16" max="16" width="8.42578125" customWidth="1"/>
  </cols>
  <sheetData>
    <row r="1" spans="2:15" ht="44.25" customHeight="1"/>
    <row r="2" spans="2:15" ht="18" customHeight="1">
      <c r="B2" s="1" t="s">
        <v>0</v>
      </c>
      <c r="C2" s="1"/>
      <c r="D2" s="1"/>
      <c r="E2" s="1"/>
      <c r="F2" s="1"/>
      <c r="G2" s="1"/>
      <c r="H2" s="1"/>
      <c r="I2" s="1"/>
      <c r="J2" s="1"/>
      <c r="K2" s="1"/>
      <c r="L2" s="1"/>
      <c r="M2" s="1"/>
      <c r="N2" s="1"/>
      <c r="O2" s="1"/>
    </row>
    <row r="3" spans="2:15" ht="18" customHeight="1"/>
    <row r="4" spans="2:15" ht="18.75" customHeight="1">
      <c r="B4" s="2"/>
      <c r="C4" s="14" t="s">
        <v>18</v>
      </c>
      <c r="D4" s="15">
        <f>IF(ISNUMBER('One Time Cost'!$E$30),'One Time Cost'!$E$30,"")</f>
        <v>1000</v>
      </c>
      <c r="E4" s="15">
        <f>IF(ISNUMBER('One Time Cost'!$H$30),'One Time Cost'!$H$30,"")</f>
        <v>1000</v>
      </c>
      <c r="F4" s="3"/>
      <c r="G4" s="24" t="s">
        <v>6</v>
      </c>
      <c r="H4" s="24" t="s">
        <v>29</v>
      </c>
      <c r="I4" s="24"/>
      <c r="J4" s="24" t="s">
        <v>30</v>
      </c>
      <c r="K4" s="24"/>
      <c r="L4" s="24"/>
      <c r="M4" s="24"/>
      <c r="N4" s="24"/>
      <c r="O4" s="4"/>
    </row>
    <row r="5" spans="2:15" ht="18.75" customHeight="1">
      <c r="B5" s="5"/>
      <c r="C5" s="19" t="s">
        <v>14</v>
      </c>
      <c r="D5" s="19"/>
      <c r="E5" s="20">
        <f>IF(ISNUMBER('One Time Cost'!$H$32),'One Time Cost'!$H$32,"")</f>
        <v>4000.0</v>
      </c>
      <c r="G5" s="25" t="s">
        <v>31</v>
      </c>
      <c r="H5" s="26">
        <f>IF(ISNUMBER('One Time Cost'!$K$36),'One Time Cost'!$K$36,"")</f>
        <v>750</v>
      </c>
      <c r="I5" s="26"/>
      <c r="J5" s="26">
        <f>IF(ISNUMBER('One Time Cost'!$N$36),'One Time Cost'!$N$36,"")</f>
        <v>9000.0</v>
      </c>
      <c r="K5" s="26"/>
      <c r="L5" s="26"/>
      <c r="M5" s="26"/>
      <c r="N5" s="26"/>
      <c r="O5" s="7"/>
    </row>
    <row r="6" spans="2:15" ht="0.75" customHeight="1">
      <c r="B6" s="5"/>
      <c r="C6" s="19"/>
      <c r="D6" s="19"/>
      <c r="E6" s="20"/>
      <c r="G6" s="25" t="s">
        <v>32</v>
      </c>
      <c r="H6" s="26">
        <f>IF(ISNUMBER('One Time Cost'!$K$38),'One Time Cost'!$K$38,"")</f>
        <v>1625.0</v>
      </c>
      <c r="I6" s="26"/>
      <c r="J6" s="26">
        <f>IF(ISNUMBER('One Time Cost'!$N$38),'One Time Cost'!$N$38,"")</f>
        <v>19500.0</v>
      </c>
      <c r="K6" s="26"/>
      <c r="L6" s="26"/>
      <c r="M6" s="26"/>
      <c r="N6" s="26"/>
      <c r="O6" s="7"/>
    </row>
    <row r="7" spans="2:15" ht="18" customHeight="1">
      <c r="B7" s="5"/>
      <c r="G7" s="25"/>
      <c r="H7" s="26"/>
      <c r="I7" s="26"/>
      <c r="J7" s="26"/>
      <c r="K7" s="26"/>
      <c r="L7" s="26"/>
      <c r="M7" s="26"/>
      <c r="N7" s="26"/>
      <c r="O7" s="7"/>
    </row>
    <row r="8" spans="2:15" ht="14.25" customHeight="1">
      <c r="B8" s="5"/>
      <c r="G8" s="25" t="s">
        <v>33</v>
      </c>
      <c r="H8" s="26">
        <f>IF(ISNUMBER('One Time Cost'!$K$40),'One Time Cost'!$K$40,"")</f>
        <v>0</v>
      </c>
      <c r="I8" s="26"/>
      <c r="J8" s="26">
        <f>IF(ISNUMBER('One Time Cost'!$N$40),'One Time Cost'!$N$40,"")</f>
        <v>0.0</v>
      </c>
      <c r="K8" s="26"/>
      <c r="L8" s="26"/>
      <c r="M8" s="26"/>
      <c r="N8" s="26"/>
      <c r="O8" s="7"/>
    </row>
    <row r="9" spans="2:15" ht="5.25" customHeight="1">
      <c r="B9" s="5"/>
      <c r="C9" s="8" t="s">
        <v>19</v>
      </c>
      <c r="D9" s="8"/>
      <c r="E9" s="8"/>
      <c r="G9" s="25"/>
      <c r="H9" s="26"/>
      <c r="I9" s="26"/>
      <c r="J9" s="26"/>
      <c r="K9" s="26"/>
      <c r="L9" s="26"/>
      <c r="M9" s="26"/>
      <c r="N9" s="26"/>
      <c r="O9" s="7"/>
    </row>
    <row r="10" spans="2:15">
      <c r="B10" s="5"/>
      <c r="C10" s="8"/>
      <c r="D10" s="8"/>
      <c r="E10" s="8"/>
      <c r="G10" s="25" t="s">
        <v>34</v>
      </c>
      <c r="H10" s="26">
        <f>IF(ISNUMBER('One Time Cost'!$K$42),'One Time Cost'!$K$42,"")</f>
        <v>200</v>
      </c>
      <c r="I10" s="26"/>
      <c r="J10" s="26">
        <f>IF(ISNUMBER('One Time Cost'!$N$42),'One Time Cost'!$N$42,"")</f>
        <v>2400.0</v>
      </c>
      <c r="K10" s="26"/>
      <c r="L10" s="26"/>
      <c r="M10" s="26"/>
      <c r="N10" s="26"/>
      <c r="O10" s="7"/>
    </row>
    <row r="11" spans="2:15" ht="3.75" customHeight="1">
      <c r="B11" s="5"/>
      <c r="G11" s="25"/>
      <c r="H11" s="26"/>
      <c r="I11" s="26"/>
      <c r="J11" s="26"/>
      <c r="K11" s="26"/>
      <c r="L11" s="26"/>
      <c r="M11" s="26"/>
      <c r="N11" s="26"/>
      <c r="O11" s="7"/>
    </row>
    <row r="12" spans="2:15" ht="3.75" customHeight="1">
      <c r="B12" s="5"/>
      <c r="G12" s="25" t="s">
        <v>35</v>
      </c>
      <c r="H12" s="26">
        <f>IF(ISNUMBER('One Time Cost'!$K$44),'One Time Cost'!$K$44,"")</f>
        <v>900</v>
      </c>
      <c r="I12" s="26"/>
      <c r="J12" s="26">
        <f>IF(ISNUMBER('One Time Cost'!$N$44),'One Time Cost'!$N$44,"")</f>
        <v>900.0</v>
      </c>
      <c r="K12" s="26"/>
      <c r="L12" s="26"/>
      <c r="M12" s="26"/>
      <c r="N12" s="26"/>
      <c r="O12" s="7"/>
    </row>
    <row r="13" spans="2:15">
      <c r="B13" s="5"/>
      <c r="C13" s="24" t="s">
        <v>6</v>
      </c>
      <c r="D13" s="24" t="s">
        <v>20</v>
      </c>
      <c r="E13" s="24" t="s">
        <v>9</v>
      </c>
      <c r="G13" s="25"/>
      <c r="H13" s="26"/>
      <c r="I13" s="26"/>
      <c r="J13" s="26"/>
      <c r="K13" s="26"/>
      <c r="L13" s="26"/>
      <c r="M13" s="26"/>
      <c r="N13" s="26"/>
      <c r="O13" s="7"/>
    </row>
    <row r="14" spans="2:15" ht="3.75" customHeight="1">
      <c r="B14" s="5"/>
      <c r="C14" s="24"/>
      <c r="D14" s="24"/>
      <c r="E14" s="24"/>
      <c r="G14" s="25" t="s">
        <v>36</v>
      </c>
      <c r="H14" s="26">
        <f>IF(ISNUMBER('One Time Cost'!$K$46),'One Time Cost'!$K$46,"")</f>
        <v>0</v>
      </c>
      <c r="I14" s="26"/>
      <c r="J14" s="26">
        <f>IF(ISNUMBER('One Time Cost'!$N$46),'One Time Cost'!$N$46,"")</f>
        <v>0.0</v>
      </c>
      <c r="K14" s="26"/>
      <c r="L14" s="26"/>
      <c r="M14" s="26"/>
      <c r="N14" s="26"/>
      <c r="O14" s="7"/>
    </row>
    <row r="15" spans="2:15">
      <c r="B15" s="5"/>
      <c r="C15" s="14" t="s">
        <v>21</v>
      </c>
      <c r="D15" s="15">
        <f>IF(ISNUMBER('One Time Cost'!$E$43),'One Time Cost'!$E$43,"")</f>
        <v>1000</v>
      </c>
      <c r="E15" s="15">
        <f>IF(ISNUMBER('One Time Cost'!$H$43),'One Time Cost'!$H$43,"")</f>
        <v>1000.0</v>
      </c>
      <c r="G15" s="25"/>
      <c r="H15" s="26"/>
      <c r="I15" s="26"/>
      <c r="J15" s="26"/>
      <c r="K15" s="26"/>
      <c r="L15" s="26"/>
      <c r="M15" s="26"/>
      <c r="N15" s="26"/>
      <c r="O15" s="7"/>
    </row>
    <row r="16" spans="2:15" ht="3.75" customHeight="1">
      <c r="B16" s="5"/>
      <c r="C16" s="14"/>
      <c r="D16" s="15"/>
      <c r="E16" s="15"/>
      <c r="G16" s="19" t="s">
        <v>14</v>
      </c>
      <c r="H16" s="19"/>
      <c r="I16" s="19"/>
      <c r="J16" s="20">
        <f>IF(ISNUMBER('One Time Cost'!$N$48),'One Time Cost'!$N$48,"")</f>
        <v>31800.0</v>
      </c>
      <c r="K16" s="20"/>
      <c r="L16" s="20"/>
      <c r="M16" s="20"/>
      <c r="N16" s="20"/>
      <c r="O16" s="7"/>
    </row>
    <row r="17" spans="2:15" ht="15.75" customHeight="1">
      <c r="B17" s="5"/>
      <c r="C17" s="14" t="s">
        <v>22</v>
      </c>
      <c r="D17" s="15">
        <f>IF(ISNUMBER('One Time Cost'!$E$45),'One Time Cost'!$E$45,"")</f>
        <v>2500</v>
      </c>
      <c r="E17" s="15">
        <f>IF(ISNUMBER('One Time Cost'!$H$45),'One Time Cost'!$H$45,"")</f>
        <v>2500.0</v>
      </c>
      <c r="G17" s="19"/>
      <c r="H17" s="19"/>
      <c r="I17" s="19"/>
      <c r="J17" s="20"/>
      <c r="K17" s="20"/>
      <c r="L17" s="20"/>
      <c r="M17" s="20"/>
      <c r="N17" s="20"/>
      <c r="O17" s="7"/>
    </row>
    <row r="18" spans="2:15" ht="3" customHeight="1">
      <c r="B18" s="5"/>
      <c r="C18" s="14"/>
      <c r="D18" s="15"/>
      <c r="E18" s="15"/>
      <c r="O18" s="7"/>
    </row>
    <row r="19" spans="2:15" ht="36" customHeight="1">
      <c r="B19" s="5"/>
      <c r="C19" s="14" t="s">
        <v>23</v>
      </c>
      <c r="D19" s="15">
        <f>IF(ISNUMBER('One Time Cost'!$E$47),'One Time Cost'!$E$47,"")</f>
        <v>0</v>
      </c>
      <c r="E19" s="15">
        <f>IF(ISNUMBER('One Time Cost'!$H$47),'One Time Cost'!$H$47,"")</f>
        <v>0.0</v>
      </c>
      <c r="O19" s="7"/>
    </row>
    <row r="20" spans="2:15" ht="20.25" customHeight="1">
      <c r="B20" s="5"/>
      <c r="C20" s="19" t="s">
        <v>14</v>
      </c>
      <c r="D20" s="19"/>
      <c r="E20" s="20">
        <f>IF(ISNUMBER('One Time Cost'!$H$49),'One Time Cost'!$H$49,"")</f>
        <v>3500.0</v>
      </c>
      <c r="O20" s="7"/>
    </row>
    <row r="21" spans="2:15" ht="26.25" customHeight="1">
      <c r="B21" s="5"/>
      <c r="O21" s="7"/>
    </row>
    <row r="22" spans="2:15" ht="3.75" customHeight="1">
      <c r="B22" s="5"/>
      <c r="C22" s="28" t="s">
        <v>24</v>
      </c>
      <c r="D22" s="28"/>
      <c r="E22" s="28"/>
      <c r="I22" s="2"/>
      <c r="J22" s="3"/>
      <c r="K22" s="3"/>
      <c r="L22" s="3"/>
      <c r="M22" s="4"/>
      <c r="O22" s="7"/>
    </row>
    <row r="23" spans="2:15" ht="27.75" customHeight="1">
      <c r="B23" s="5"/>
      <c r="C23" s="28"/>
      <c r="D23" s="28"/>
      <c r="E23" s="28"/>
      <c r="I23" s="5"/>
      <c r="J23" s="27" t="s">
        <v>37</v>
      </c>
      <c r="K23" s="27"/>
      <c r="L23" s="27"/>
      <c r="M23" s="7"/>
      <c r="O23" s="7"/>
    </row>
    <row r="24" spans="2:15" ht="3.75" customHeight="1">
      <c r="B24" s="5"/>
      <c r="C24" s="28"/>
      <c r="D24" s="28"/>
      <c r="E24" s="28"/>
      <c r="I24" s="29"/>
      <c r="J24" s="30"/>
      <c r="K24" s="30"/>
      <c r="L24" s="30"/>
      <c r="M24" s="31"/>
      <c r="O24" s="7"/>
    </row>
    <row r="25" spans="2:15" ht="12.75" customHeight="1">
      <c r="B25" s="5"/>
      <c r="C25" s="28"/>
      <c r="D25" s="28"/>
      <c r="E25" s="28"/>
      <c r="O25" s="7"/>
    </row>
    <row r="26" spans="2:15" ht="12.75" customHeight="1">
      <c r="B26" s="29"/>
      <c r="C26" s="30"/>
      <c r="D26" s="30"/>
      <c r="E26" s="30"/>
      <c r="F26" s="30"/>
      <c r="G26" s="30"/>
      <c r="H26" s="30"/>
      <c r="I26" s="30"/>
      <c r="J26" s="30"/>
      <c r="K26" s="30"/>
      <c r="L26" s="30"/>
      <c r="M26" s="30"/>
      <c r="N26" s="30"/>
      <c r="O26" s="31"/>
    </row>
    <row r="27" spans="2:15" ht="24.75" customHeight="1"/>
    <row r="28" spans="2:15" ht="77.25" customHeight="1">
      <c r="B28" s="9" t="s">
        <v>39</v>
      </c>
      <c r="C28" s="9"/>
      <c r="D28" s="9"/>
      <c r="E28" s="9"/>
      <c r="F28" s="9"/>
      <c r="G28" s="9"/>
      <c r="H28" s="9"/>
      <c r="I28" s="9"/>
      <c r="J28" s="9"/>
      <c r="K28" s="9"/>
      <c r="L28" s="9"/>
      <c r="M28" s="9"/>
      <c r="N28" s="9"/>
      <c r="O28" s="9"/>
    </row>
    <row r="29" spans="2:15" ht="21" customHeight="1"/>
    <row r="30" spans="2:15" ht="68.25" customHeight="1">
      <c r="B30" s="9" t="s">
        <v>40</v>
      </c>
      <c r="C30" s="9"/>
      <c r="D30" s="9"/>
      <c r="E30" s="9"/>
      <c r="F30" s="9"/>
      <c r="G30" s="9"/>
      <c r="H30" s="9"/>
      <c r="I30" s="9"/>
      <c r="J30" s="9"/>
      <c r="K30" s="9"/>
      <c r="L30" s="9"/>
      <c r="M30" s="9"/>
      <c r="N30" s="9"/>
      <c r="O30" s="9"/>
    </row>
    <row r="31" spans="2:15" ht="35.25" customHeight="1"/>
    <row r="32" spans="2:15" ht="75.75" customHeight="1">
      <c r="B32" s="8" t="s">
        <v>41</v>
      </c>
      <c r="C32" s="8"/>
      <c r="D32" s="8"/>
      <c r="E32" s="8"/>
      <c r="F32" s="8"/>
      <c r="G32" s="8"/>
      <c r="H32" s="8"/>
      <c r="I32" s="8"/>
      <c r="J32" s="8"/>
      <c r="K32" s="8"/>
      <c r="L32" s="8"/>
      <c r="M32" s="8"/>
      <c r="N32" s="8"/>
      <c r="O32" s="8"/>
    </row>
    <row r="33" spans="2:15" ht="119.25" customHeight="1"/>
    <row r="34" spans="2:15" ht="14.25" customHeight="1">
      <c r="B34" s="33" t="s">
        <v>1</v>
      </c>
      <c r="C34" s="33"/>
      <c r="D34" s="33"/>
      <c r="E34" s="33"/>
      <c r="F34" s="33"/>
      <c r="G34" s="33"/>
      <c r="H34" s="33"/>
      <c r="I34" s="33"/>
      <c r="J34" s="33"/>
      <c r="L34" s="34" t="s">
        <v>38</v>
      </c>
      <c r="M34" s="34"/>
      <c r="N34" s="34"/>
      <c r="O34" s="34"/>
    </row>
    <row r="35" spans="2:15" ht="27" customHeight="1"/>
  </sheetData>
  <mergeCells count="42">
    <mergeCell ref="B2:O2"/>
    <mergeCell ref="B34:J34"/>
    <mergeCell ref="L34:O34"/>
    <mergeCell ref="C5:D6"/>
    <mergeCell ref="E5:E6"/>
    <mergeCell ref="C9:E10"/>
    <mergeCell ref="C13:C14"/>
    <mergeCell ref="D13:D14"/>
    <mergeCell ref="E13:E14"/>
    <mergeCell ref="C15:C16"/>
    <mergeCell ref="D15:D16"/>
    <mergeCell ref="E15:E16"/>
    <mergeCell ref="C17:C18"/>
    <mergeCell ref="D17:D18"/>
    <mergeCell ref="E17:E18"/>
    <mergeCell ref="C20:D20"/>
    <mergeCell ref="C22:E25"/>
    <mergeCell ref="B28:O28"/>
    <mergeCell ref="B30:O30"/>
    <mergeCell ref="H4:I4"/>
    <mergeCell ref="J4:N4"/>
    <mergeCell ref="H5:I5"/>
    <mergeCell ref="J5:N5"/>
    <mergeCell ref="G6:G7"/>
    <mergeCell ref="H6:I7"/>
    <mergeCell ref="J6:N7"/>
    <mergeCell ref="G8:G9"/>
    <mergeCell ref="H8:I9"/>
    <mergeCell ref="J8:N9"/>
    <mergeCell ref="G10:G11"/>
    <mergeCell ref="H10:I11"/>
    <mergeCell ref="J10:N11"/>
    <mergeCell ref="G12:G13"/>
    <mergeCell ref="H12:I13"/>
    <mergeCell ref="J12:N13"/>
    <mergeCell ref="G14:G15"/>
    <mergeCell ref="H14:I15"/>
    <mergeCell ref="J14:N15"/>
    <mergeCell ref="G16:I17"/>
    <mergeCell ref="J16:N17"/>
    <mergeCell ref="J23:L23"/>
    <mergeCell ref="B32:O32"/>
  </mergeCells>
  <pageMargins left="0" right="0" top="0" bottom="0" header="0.3" footer="0.3"/>
  <pageSetup paperSize="9" orientation="portrait"/>
</worksheet>
</file>

<file path=xl/worksheets/sheet3.xml><?xml version="1.0" encoding="utf-8"?>
<worksheet xmlns="http://schemas.openxmlformats.org/spreadsheetml/2006/main" xmlns:r="http://schemas.openxmlformats.org/officeDocument/2006/relationships">
  <sheetPr>
    <tabColor rgb="FF6A1839"/>
    <pageSetUpPr fitToPage="1"/>
  </sheetPr>
  <dimension ref="A1:V45"/>
  <sheetViews>
    <sheetView showGridLines="0" zoomScale="90" zoomScaleNormal="90" workbookViewId="0"/>
  </sheetViews>
  <sheetFormatPr defaultRowHeight="15"/>
  <cols>
    <col min="1" max="1" width="8.42578125" customWidth="1"/>
    <col min="2" max="2" width="1.28515625" customWidth="1"/>
    <col min="3" max="3" width="15" customWidth="1"/>
    <col min="4" max="4" width="1.28515625" customWidth="1"/>
    <col min="5" max="5" width="8" customWidth="1"/>
    <col min="6" max="6" width="5.5703125" customWidth="1"/>
    <col min="7" max="7" width="3.85546875" customWidth="1"/>
    <col min="8" max="8" width="9.7109375" customWidth="1"/>
    <col min="9" max="9" width="1.85546875" customWidth="1"/>
    <col min="10" max="10" width="3.28515625" customWidth="1"/>
    <col min="11" max="11" width="15" customWidth="1"/>
    <col min="12" max="12" width="1.28515625" customWidth="1"/>
    <col min="13" max="13" width="8" customWidth="1"/>
    <col min="14" max="14" width="5.5703125" customWidth="1"/>
    <col min="15" max="15" width="1" customWidth="1"/>
    <col min="16" max="16" width="2.85546875" customWidth="1"/>
    <col min="17" max="17" width="3" customWidth="1"/>
    <col min="18" max="18" width="1.5703125" customWidth="1"/>
    <col min="19" max="19" width="4.5703125" customWidth="1"/>
    <col min="20" max="20" width="0.5703125" customWidth="1"/>
    <col min="21" max="21" width="1.85546875" customWidth="1"/>
    <col min="22" max="22" width="1.28515625" customWidth="1"/>
    <col min="23" max="23" width="8.42578125" customWidth="1"/>
  </cols>
  <sheetData>
    <row r="1" spans="2:22" ht="44.25" customHeight="1"/>
    <row r="2" spans="2:22" ht="18" customHeight="1">
      <c r="B2" s="1" t="s">
        <v>0</v>
      </c>
      <c r="C2" s="1"/>
      <c r="D2" s="1"/>
      <c r="E2" s="1"/>
      <c r="F2" s="1"/>
      <c r="G2" s="1"/>
      <c r="H2" s="1"/>
      <c r="I2" s="1"/>
      <c r="J2" s="1"/>
      <c r="K2" s="1"/>
      <c r="L2" s="1"/>
      <c r="M2" s="1"/>
      <c r="N2" s="1"/>
      <c r="O2" s="1"/>
      <c r="P2" s="1"/>
      <c r="Q2" s="1"/>
      <c r="R2" s="1"/>
      <c r="S2" s="1"/>
      <c r="T2" s="1"/>
      <c r="U2" s="1"/>
      <c r="V2" s="1"/>
    </row>
    <row r="3" spans="2:22" ht="8.25" customHeight="1"/>
    <row r="4" spans="2:22" ht="20.25" customHeight="1">
      <c r="C4" s="35" t="s">
        <v>42</v>
      </c>
      <c r="D4" s="35"/>
      <c r="E4" s="35"/>
      <c r="F4" s="35"/>
      <c r="G4" s="35"/>
      <c r="H4" s="35"/>
      <c r="I4" s="35"/>
      <c r="J4" s="35"/>
      <c r="K4" s="35"/>
      <c r="L4" s="35"/>
      <c r="M4" s="35"/>
      <c r="N4" s="35"/>
      <c r="O4" s="35"/>
      <c r="P4" s="35"/>
      <c r="Q4" s="35"/>
      <c r="R4" s="35"/>
      <c r="S4" s="35"/>
    </row>
    <row r="5" spans="2:22" ht="12.75" customHeight="1"/>
    <row r="6" spans="2:22" ht="3" customHeight="1">
      <c r="B6" s="2"/>
      <c r="C6" s="3"/>
      <c r="D6" s="3"/>
      <c r="E6" s="3"/>
      <c r="F6" s="3"/>
      <c r="G6" s="3"/>
      <c r="H6" s="3"/>
      <c r="I6" s="3"/>
      <c r="J6" s="3"/>
      <c r="K6" s="3"/>
      <c r="L6" s="3"/>
      <c r="M6" s="3"/>
      <c r="N6" s="3"/>
      <c r="O6" s="3"/>
      <c r="P6" s="3"/>
      <c r="Q6" s="3"/>
      <c r="R6" s="3"/>
      <c r="S6" s="3"/>
      <c r="T6" s="3"/>
      <c r="U6" s="3"/>
      <c r="V6" s="4"/>
    </row>
    <row r="7" spans="2:22" ht="14.25" customHeight="1">
      <c r="B7" s="5"/>
      <c r="C7" s="36" t="s">
        <v>44</v>
      </c>
      <c r="D7" s="36"/>
      <c r="E7" s="36"/>
      <c r="F7" s="36"/>
      <c r="G7" s="36"/>
      <c r="H7" s="36"/>
      <c r="I7" s="36"/>
      <c r="J7" s="36"/>
      <c r="K7" s="36"/>
      <c r="L7" s="36"/>
      <c r="M7" s="36"/>
      <c r="N7" s="36"/>
      <c r="O7" s="36"/>
      <c r="P7" s="36"/>
      <c r="Q7" s="36"/>
      <c r="R7" s="36"/>
      <c r="S7" s="36"/>
      <c r="T7" s="36"/>
      <c r="U7" s="36"/>
      <c r="V7" s="7"/>
    </row>
    <row r="8" spans="2:22">
      <c r="B8" s="5"/>
      <c r="C8" s="36" t="s">
        <v>45</v>
      </c>
      <c r="D8" s="36"/>
      <c r="E8" s="36"/>
      <c r="F8" s="36"/>
      <c r="G8" s="36"/>
      <c r="H8" s="36"/>
      <c r="I8" s="36"/>
      <c r="J8" s="36"/>
      <c r="K8" s="36"/>
      <c r="L8" s="36"/>
      <c r="M8" s="36"/>
      <c r="N8" s="36"/>
      <c r="O8" s="36"/>
      <c r="P8" s="36"/>
      <c r="Q8" s="36"/>
      <c r="R8" s="36"/>
      <c r="S8" s="36"/>
      <c r="T8" s="36"/>
      <c r="U8" s="36"/>
      <c r="V8" s="7"/>
    </row>
    <row r="9" spans="2:22" ht="6.75" customHeight="1">
      <c r="B9" s="5"/>
      <c r="V9" s="7"/>
    </row>
    <row r="10" spans="2:22" ht="12.75" customHeight="1">
      <c r="B10" s="5"/>
      <c r="C10" s="37" t="s">
        <v>46</v>
      </c>
      <c r="D10" s="37"/>
      <c r="E10" s="37"/>
      <c r="F10" s="37"/>
      <c r="G10" s="37"/>
      <c r="H10" s="37"/>
      <c r="I10" s="37"/>
      <c r="K10" s="37" t="s">
        <v>56</v>
      </c>
      <c r="L10" s="37"/>
      <c r="M10" s="37"/>
      <c r="N10" s="37"/>
      <c r="O10" s="37"/>
      <c r="P10" s="37"/>
      <c r="Q10" s="37"/>
      <c r="R10" s="37"/>
      <c r="S10" s="37"/>
      <c r="T10" s="37"/>
      <c r="U10" s="37"/>
      <c r="V10" s="7"/>
    </row>
    <row r="11" spans="2:22" ht="12.75" customHeight="1">
      <c r="B11" s="5"/>
      <c r="C11" s="38" t="s">
        <v>6</v>
      </c>
      <c r="D11" s="38" t="s">
        <v>47</v>
      </c>
      <c r="E11" s="38"/>
      <c r="F11" s="38" t="s">
        <v>48</v>
      </c>
      <c r="G11" s="38"/>
      <c r="H11" s="38" t="s">
        <v>9</v>
      </c>
      <c r="I11" s="38"/>
      <c r="K11" s="38" t="s">
        <v>6</v>
      </c>
      <c r="L11" s="38" t="s">
        <v>47</v>
      </c>
      <c r="M11" s="38"/>
      <c r="N11" s="38" t="s">
        <v>48</v>
      </c>
      <c r="O11" s="38"/>
      <c r="P11" s="38"/>
      <c r="Q11" s="38" t="s">
        <v>9</v>
      </c>
      <c r="R11" s="38"/>
      <c r="S11" s="38"/>
      <c r="T11" s="38"/>
      <c r="U11" s="38"/>
      <c r="V11" s="7"/>
    </row>
    <row r="12" spans="2:22" ht="12.75" customHeight="1">
      <c r="B12" s="5"/>
      <c r="C12" s="39" t="s">
        <v>49</v>
      </c>
      <c r="D12" s="40">
        <v>4</v>
      </c>
      <c r="E12" s="40"/>
      <c r="F12" s="41">
        <v>150</v>
      </c>
      <c r="G12" s="41"/>
      <c r="H12" s="41">
        <f>IF(COUNT('Tangible Benefits'!$D$12,'Tangible Benefits'!$F$12)=2,'Tangible Benefits'!$D$12*'Tangible Benefits'!$F$12,"")</f>
        <v>600.0</v>
      </c>
      <c r="I12" s="41"/>
      <c r="K12" s="39" t="s">
        <v>49</v>
      </c>
      <c r="L12" s="40">
        <v>2</v>
      </c>
      <c r="M12" s="40"/>
      <c r="N12" s="41">
        <v>150</v>
      </c>
      <c r="O12" s="41"/>
      <c r="P12" s="41"/>
      <c r="Q12" s="41">
        <f>IF(COUNT('Tangible Benefits'!$L$12,'Tangible Benefits'!$N$12)=2,'Tangible Benefits'!$L$12*'Tangible Benefits'!$N$12,"")</f>
        <v>300.0</v>
      </c>
      <c r="R12" s="41"/>
      <c r="S12" s="41"/>
      <c r="T12" s="41"/>
      <c r="U12" s="41"/>
      <c r="V12" s="7"/>
    </row>
    <row r="13" spans="2:22" ht="12.75" customHeight="1">
      <c r="B13" s="5"/>
      <c r="C13" s="39" t="s">
        <v>50</v>
      </c>
      <c r="D13" s="40">
        <v>3</v>
      </c>
      <c r="E13" s="40"/>
      <c r="F13" s="41">
        <v>150</v>
      </c>
      <c r="G13" s="41"/>
      <c r="H13" s="41">
        <f>IF(COUNT('Tangible Benefits'!$D$13,'Tangible Benefits'!$F$13)=2,'Tangible Benefits'!$D$13*'Tangible Benefits'!$F$13,"")</f>
        <v>450.0</v>
      </c>
      <c r="I13" s="41"/>
      <c r="K13" s="39" t="s">
        <v>50</v>
      </c>
      <c r="L13" s="40">
        <v>2</v>
      </c>
      <c r="M13" s="40"/>
      <c r="N13" s="41">
        <v>150</v>
      </c>
      <c r="O13" s="41"/>
      <c r="P13" s="41"/>
      <c r="Q13" s="41">
        <f>IF(COUNT('Tangible Benefits'!$L$13,'Tangible Benefits'!$N$13)=2,'Tangible Benefits'!$L$13*'Tangible Benefits'!$N$13,"")</f>
        <v>300.0</v>
      </c>
      <c r="R13" s="41"/>
      <c r="S13" s="41"/>
      <c r="T13" s="41"/>
      <c r="U13" s="41"/>
      <c r="V13" s="7"/>
    </row>
    <row r="14" spans="2:22" ht="12.75" customHeight="1">
      <c r="B14" s="5"/>
      <c r="C14" s="39" t="s">
        <v>51</v>
      </c>
      <c r="D14" s="40">
        <v>12</v>
      </c>
      <c r="E14" s="40"/>
      <c r="F14" s="41">
        <v>250</v>
      </c>
      <c r="G14" s="41"/>
      <c r="H14" s="41">
        <f>IF(COUNT('Tangible Benefits'!$D$14,'Tangible Benefits'!$F$14)=2,'Tangible Benefits'!$D$14*'Tangible Benefits'!$F$14,"")</f>
        <v>3000.0</v>
      </c>
      <c r="I14" s="41"/>
      <c r="K14" s="39" t="s">
        <v>51</v>
      </c>
      <c r="L14" s="40">
        <v>4</v>
      </c>
      <c r="M14" s="40"/>
      <c r="N14" s="41">
        <v>250</v>
      </c>
      <c r="O14" s="41"/>
      <c r="P14" s="41"/>
      <c r="Q14" s="41">
        <f>IF(COUNT('Tangible Benefits'!$L$14,'Tangible Benefits'!$N$14)=2,'Tangible Benefits'!$L$14*'Tangible Benefits'!$N$14,"")</f>
        <v>1000.0</v>
      </c>
      <c r="R14" s="41"/>
      <c r="S14" s="41"/>
      <c r="T14" s="41"/>
      <c r="U14" s="41"/>
      <c r="V14" s="7"/>
    </row>
    <row r="15" spans="2:22" ht="12.75" customHeight="1">
      <c r="B15" s="5"/>
      <c r="C15" s="39" t="s">
        <v>52</v>
      </c>
      <c r="D15" s="40">
        <v>1</v>
      </c>
      <c r="E15" s="40"/>
      <c r="F15" s="41">
        <v>150</v>
      </c>
      <c r="G15" s="41"/>
      <c r="H15" s="41">
        <f>IF(COUNT('Tangible Benefits'!$D$15,'Tangible Benefits'!$F$15)=2,'Tangible Benefits'!$D$15*'Tangible Benefits'!$F$15,"")</f>
        <v>150.0</v>
      </c>
      <c r="I15" s="41"/>
      <c r="K15" s="39" t="s">
        <v>53</v>
      </c>
      <c r="L15" s="40">
        <v>2</v>
      </c>
      <c r="M15" s="40"/>
      <c r="N15" s="41">
        <v>80</v>
      </c>
      <c r="O15" s="41"/>
      <c r="P15" s="41"/>
      <c r="Q15" s="41">
        <f>IF(COUNT('Tangible Benefits'!$L$15,'Tangible Benefits'!$N$15)=2,'Tangible Benefits'!$L$15*'Tangible Benefits'!$N$15,"")</f>
        <v>160.0</v>
      </c>
      <c r="R15" s="41"/>
      <c r="S15" s="41"/>
      <c r="T15" s="41"/>
      <c r="U15" s="41"/>
      <c r="V15" s="7"/>
    </row>
    <row r="16" spans="2:22" ht="12.75" customHeight="1">
      <c r="B16" s="5"/>
      <c r="C16" s="39" t="s">
        <v>53</v>
      </c>
      <c r="D16" s="40">
        <v>6</v>
      </c>
      <c r="E16" s="40"/>
      <c r="F16" s="41">
        <v>80</v>
      </c>
      <c r="G16" s="41"/>
      <c r="H16" s="41">
        <f>IF(COUNT('Tangible Benefits'!$D$16,'Tangible Benefits'!$F$16)=2,'Tangible Benefits'!$D$16*'Tangible Benefits'!$F$16,"")</f>
        <v>480.0</v>
      </c>
      <c r="I16" s="41"/>
      <c r="K16" s="39" t="s">
        <v>57</v>
      </c>
      <c r="L16" s="40">
        <v>0</v>
      </c>
      <c r="M16" s="40"/>
      <c r="N16" s="41">
        <v>400</v>
      </c>
      <c r="O16" s="41"/>
      <c r="P16" s="41"/>
      <c r="Q16" s="41">
        <f>IF(COUNT('Tangible Benefits'!$L$16,'Tangible Benefits'!$N$16)=2,'Tangible Benefits'!$L$16*'Tangible Benefits'!$N$16,"")</f>
        <v>0.0</v>
      </c>
      <c r="R16" s="41"/>
      <c r="S16" s="41"/>
      <c r="T16" s="41"/>
      <c r="U16" s="41"/>
      <c r="V16" s="7"/>
    </row>
    <row r="17" spans="2:22" ht="12.75" customHeight="1">
      <c r="B17" s="5"/>
      <c r="C17" s="39" t="s">
        <v>54</v>
      </c>
      <c r="D17" s="40">
        <v>12</v>
      </c>
      <c r="E17" s="40"/>
      <c r="F17" s="41">
        <v>60</v>
      </c>
      <c r="G17" s="41"/>
      <c r="H17" s="41">
        <f>IF(COUNT('Tangible Benefits'!$D$17,'Tangible Benefits'!$F$17)=2,'Tangible Benefits'!$D$17*'Tangible Benefits'!$F$17,"")</f>
        <v>720.0</v>
      </c>
      <c r="I17" s="41"/>
      <c r="K17" s="39" t="s">
        <v>55</v>
      </c>
      <c r="L17" s="40">
        <v>3</v>
      </c>
      <c r="M17" s="40"/>
      <c r="N17" s="41">
        <v>350</v>
      </c>
      <c r="O17" s="41"/>
      <c r="P17" s="41"/>
      <c r="Q17" s="41">
        <f>IF(COUNT('Tangible Benefits'!$L$17,'Tangible Benefits'!$N$17)=2,'Tangible Benefits'!$L$17*'Tangible Benefits'!$N$17,"")</f>
        <v>1050.0</v>
      </c>
      <c r="R17" s="41"/>
      <c r="S17" s="41"/>
      <c r="T17" s="41"/>
      <c r="U17" s="41"/>
      <c r="V17" s="7"/>
    </row>
    <row r="18" spans="2:22" ht="12.75" customHeight="1">
      <c r="B18" s="5"/>
      <c r="C18" s="39" t="s">
        <v>55</v>
      </c>
      <c r="D18" s="40">
        <v>6</v>
      </c>
      <c r="E18" s="40"/>
      <c r="F18" s="41">
        <v>350</v>
      </c>
      <c r="G18" s="41"/>
      <c r="H18" s="41">
        <f>IF(COUNT('Tangible Benefits'!$D$18,'Tangible Benefits'!$F$18)=2,'Tangible Benefits'!$D$18*'Tangible Benefits'!$F$18,"")</f>
        <v>2100.0</v>
      </c>
      <c r="I18" s="41"/>
      <c r="V18" s="7"/>
    </row>
    <row r="19" spans="2:22">
      <c r="B19" s="5"/>
      <c r="C19" s="42" t="s">
        <v>14</v>
      </c>
      <c r="D19" s="42"/>
      <c r="E19" s="42"/>
      <c r="F19" s="42"/>
      <c r="G19" s="42"/>
      <c r="H19" s="43">
        <f>IF(COUNT('Tangible Benefits'!$H$12,'Tangible Benefits'!$H$13,'Tangible Benefits'!$H$14,'Tangible Benefits'!$H$15,'Tangible Benefits'!$H$16,'Tangible Benefits'!$H$17,'Tangible Benefits'!$H$18)=7,SUM('Tangible Benefits'!$H$12,'Tangible Benefits'!$H$13,'Tangible Benefits'!$H$14,'Tangible Benefits'!$H$15,'Tangible Benefits'!$H$16,'Tangible Benefits'!$H$17,'Tangible Benefits'!$H$18),"")</f>
        <v>7500.0</v>
      </c>
      <c r="I19" s="43"/>
      <c r="K19" s="42" t="s">
        <v>14</v>
      </c>
      <c r="L19" s="42"/>
      <c r="M19" s="42"/>
      <c r="N19" s="42"/>
      <c r="O19" s="42"/>
      <c r="P19" s="42"/>
      <c r="Q19" s="43">
        <f>IF(COUNT('Tangible Benefits'!$Q$12,'Tangible Benefits'!$Q$13,'Tangible Benefits'!$Q$14,'Tangible Benefits'!$Q$15,'Tangible Benefits'!$Q$16,'Tangible Benefits'!$Q$17)=6,SUM('Tangible Benefits'!$Q$12,'Tangible Benefits'!$Q$13,'Tangible Benefits'!$Q$14,'Tangible Benefits'!$Q$15,'Tangible Benefits'!$Q$16,'Tangible Benefits'!$Q$17),"")</f>
        <v>2810.0</v>
      </c>
      <c r="R19" s="43"/>
      <c r="S19" s="43"/>
      <c r="T19" s="43"/>
      <c r="U19" s="43"/>
      <c r="V19" s="7"/>
    </row>
    <row r="20" spans="2:22" ht="3" customHeight="1">
      <c r="B20" s="5"/>
      <c r="V20" s="7"/>
    </row>
    <row r="21" spans="2:22">
      <c r="B21" s="5"/>
      <c r="C21" s="44" t="s">
        <v>58</v>
      </c>
      <c r="D21" s="44"/>
      <c r="E21" s="44"/>
      <c r="F21" s="44"/>
      <c r="G21" s="44"/>
      <c r="H21" s="44"/>
      <c r="I21" s="44"/>
      <c r="J21" s="44"/>
      <c r="K21" s="44"/>
      <c r="L21" s="44"/>
      <c r="M21" s="44"/>
      <c r="N21" s="44"/>
      <c r="O21" s="44"/>
      <c r="P21" s="44"/>
      <c r="Q21" s="44"/>
      <c r="R21" s="44"/>
      <c r="S21" s="44"/>
      <c r="T21" s="44"/>
      <c r="U21" s="44"/>
      <c r="V21" s="7"/>
    </row>
    <row r="22" spans="2:22" ht="15.75" customHeight="1">
      <c r="B22" s="5"/>
      <c r="C22" s="45" t="s">
        <v>59</v>
      </c>
      <c r="D22" s="45"/>
      <c r="E22" s="45"/>
      <c r="F22" s="45"/>
      <c r="G22" s="45"/>
      <c r="H22" s="45"/>
      <c r="I22" s="45"/>
      <c r="J22" s="45"/>
      <c r="K22" s="45"/>
      <c r="L22" s="45"/>
      <c r="M22" s="45"/>
      <c r="N22" s="45"/>
      <c r="O22" s="45"/>
      <c r="P22" s="46">
        <f>IF(COUNT('Tangible Benefits'!$H$19,'Tangible Benefits'!$Q$19)=2,'Tangible Benefits'!$H$19-'Tangible Benefits'!$Q$19,"")</f>
        <v>4690.0</v>
      </c>
      <c r="Q22" s="46"/>
      <c r="R22" s="46"/>
      <c r="S22" s="46"/>
      <c r="T22" s="46"/>
      <c r="U22" s="46"/>
      <c r="V22" s="7"/>
    </row>
    <row r="23" spans="2:22" ht="9.75" customHeight="1">
      <c r="B23" s="5"/>
      <c r="V23" s="7"/>
    </row>
    <row r="24" spans="2:22">
      <c r="B24" s="5"/>
      <c r="C24" s="36" t="s">
        <v>60</v>
      </c>
      <c r="D24" s="36"/>
      <c r="E24" s="36"/>
      <c r="F24" s="36"/>
      <c r="G24" s="36"/>
      <c r="H24" s="36"/>
      <c r="I24" s="36"/>
      <c r="J24" s="36"/>
      <c r="K24" s="36"/>
      <c r="L24" s="36"/>
      <c r="M24" s="36"/>
      <c r="N24" s="36"/>
      <c r="O24" s="36"/>
      <c r="P24" s="36"/>
      <c r="Q24" s="36"/>
      <c r="R24" s="36"/>
      <c r="S24" s="36"/>
      <c r="T24" s="36"/>
      <c r="U24" s="36"/>
      <c r="V24" s="7"/>
    </row>
    <row r="25" spans="2:22" ht="3.75" customHeight="1">
      <c r="B25" s="5"/>
      <c r="V25" s="7"/>
    </row>
    <row r="26" spans="2:22" ht="12.75" customHeight="1">
      <c r="B26" s="5"/>
      <c r="C26" s="47" t="s">
        <v>46</v>
      </c>
      <c r="D26" s="47"/>
      <c r="E26" s="47"/>
      <c r="F26" s="47"/>
      <c r="G26" s="47"/>
      <c r="H26" s="47"/>
      <c r="K26" s="47" t="s">
        <v>56</v>
      </c>
      <c r="L26" s="47"/>
      <c r="M26" s="47"/>
      <c r="N26" s="47"/>
      <c r="O26" s="47"/>
      <c r="P26" s="47"/>
      <c r="Q26" s="47"/>
      <c r="R26" s="47"/>
      <c r="S26" s="47"/>
      <c r="T26" s="47"/>
      <c r="V26" s="7"/>
    </row>
    <row r="27" spans="2:22" ht="24.75" customHeight="1">
      <c r="B27" s="5"/>
      <c r="C27" s="24" t="s">
        <v>61</v>
      </c>
      <c r="D27" s="24"/>
      <c r="E27" s="24" t="s">
        <v>62</v>
      </c>
      <c r="F27" s="24"/>
      <c r="G27" s="24" t="s">
        <v>63</v>
      </c>
      <c r="H27" s="24"/>
      <c r="K27" s="24" t="s">
        <v>61</v>
      </c>
      <c r="L27" s="24"/>
      <c r="M27" s="24" t="s">
        <v>62</v>
      </c>
      <c r="N27" s="24"/>
      <c r="O27" s="24" t="s">
        <v>63</v>
      </c>
      <c r="P27" s="24"/>
      <c r="Q27" s="24"/>
      <c r="R27" s="24"/>
      <c r="S27" s="24"/>
      <c r="T27" s="24"/>
      <c r="V27" s="7"/>
    </row>
    <row r="28" spans="2:22">
      <c r="B28" s="5"/>
      <c r="C28" s="25" t="s">
        <v>64</v>
      </c>
      <c r="D28" s="25"/>
      <c r="E28" s="26">
        <f>IF(COUNT('Input Details'!$C$14,'Input Details'!$C$13)=2,'Input Details'!$C$14*'Input Details'!$C$13,"")</f>
        <v>6000.0</v>
      </c>
      <c r="F28" s="26"/>
      <c r="G28" s="26">
        <f>IF(ISNUMBER('Tangible Benefits'!$E$28),'Tangible Benefits'!$E$28*12,"")</f>
        <v>72000.0</v>
      </c>
      <c r="H28" s="26"/>
      <c r="K28" s="25" t="s">
        <v>64</v>
      </c>
      <c r="L28" s="25"/>
      <c r="M28" s="26">
        <f>IF(COUNT('Input Details'!$C$17,'Input Details'!$C$13)=2,'Input Details'!$C$17*'Input Details'!$C$13,"")</f>
        <v>3000.0</v>
      </c>
      <c r="N28" s="26"/>
      <c r="O28" s="26">
        <f>IF(ISNUMBER('Tangible Benefits'!$M$28),'Tangible Benefits'!$M$28*12,"")</f>
        <v>36000.0</v>
      </c>
      <c r="P28" s="26"/>
      <c r="Q28" s="26"/>
      <c r="R28" s="26"/>
      <c r="S28" s="26"/>
      <c r="T28" s="26"/>
      <c r="V28" s="7"/>
    </row>
    <row r="29" spans="2:22">
      <c r="B29" s="5"/>
      <c r="C29" s="25" t="s">
        <v>65</v>
      </c>
      <c r="D29" s="25"/>
      <c r="E29" s="26">
        <f>IF(COUNT('Input Details'!$C$15,'Input Details'!$C$13)=2,'Input Details'!$C$15*'Input Details'!$C$13,"")</f>
        <v>2400.0</v>
      </c>
      <c r="F29" s="26"/>
      <c r="G29" s="26">
        <f>IF(ISNUMBER('Tangible Benefits'!$E$29),'Tangible Benefits'!$E$29*12,"")</f>
        <v>28800.0</v>
      </c>
      <c r="H29" s="26"/>
      <c r="K29" s="25" t="s">
        <v>65</v>
      </c>
      <c r="L29" s="25"/>
      <c r="M29" s="26">
        <f>IF(COUNT('Input Details'!$C$18,'Input Details'!$C$13)=2,'Input Details'!$C$18*'Input Details'!$C$13,"")</f>
        <v>900.0</v>
      </c>
      <c r="N29" s="26"/>
      <c r="O29" s="26">
        <f>IF(ISNUMBER('Tangible Benefits'!$M$29),'Tangible Benefits'!$M$29*12,"")</f>
        <v>10800.0</v>
      </c>
      <c r="P29" s="26"/>
      <c r="Q29" s="26"/>
      <c r="R29" s="26"/>
      <c r="S29" s="26"/>
      <c r="T29" s="26"/>
      <c r="V29" s="7"/>
    </row>
    <row r="30" spans="2:22">
      <c r="B30" s="5"/>
      <c r="C30" s="25" t="s">
        <v>66</v>
      </c>
      <c r="D30" s="25"/>
      <c r="E30" s="26">
        <f>IF(COUNT('Input Details'!$C$16,'Input Details'!$C$13)=2,'Input Details'!$C$16*'Input Details'!$C$13,"")</f>
        <v>3600.0</v>
      </c>
      <c r="F30" s="26"/>
      <c r="G30" s="26">
        <f>IF(ISNUMBER('Tangible Benefits'!$E$30),'Tangible Benefits'!$E$30*12,"")</f>
        <v>43200.0</v>
      </c>
      <c r="H30" s="26"/>
      <c r="K30" s="25" t="s">
        <v>66</v>
      </c>
      <c r="L30" s="25"/>
      <c r="M30" s="26">
        <f>IF(COUNT('Input Details'!$C$19,'Input Details'!$C$13)=2,'Input Details'!$C$19*'Input Details'!$C$13,"")</f>
        <v>1800.0</v>
      </c>
      <c r="N30" s="26"/>
      <c r="O30" s="26">
        <f>IF(ISNUMBER('Tangible Benefits'!$M$30),'Tangible Benefits'!$M$30*12,"")</f>
        <v>21600.0</v>
      </c>
      <c r="P30" s="26"/>
      <c r="Q30" s="26"/>
      <c r="R30" s="26"/>
      <c r="S30" s="26"/>
      <c r="T30" s="26"/>
      <c r="V30" s="7"/>
    </row>
    <row r="31" spans="2:22">
      <c r="B31" s="5"/>
      <c r="C31" s="19" t="s">
        <v>14</v>
      </c>
      <c r="D31" s="19"/>
      <c r="E31" s="19"/>
      <c r="F31" s="19"/>
      <c r="G31" s="20">
        <f>IF(COUNT('Tangible Benefits'!$G$28,'Tangible Benefits'!$G$29,'Tangible Benefits'!$G$30)=3,SUM('Tangible Benefits'!$G$28,'Tangible Benefits'!$G$29,'Tangible Benefits'!$G$30),"")</f>
        <v>144000.0</v>
      </c>
      <c r="H31" s="20"/>
      <c r="K31" s="19" t="s">
        <v>14</v>
      </c>
      <c r="L31" s="19"/>
      <c r="M31" s="19"/>
      <c r="N31" s="19"/>
      <c r="O31" s="20">
        <f>IF(COUNT('Tangible Benefits'!$O$28,'Tangible Benefits'!$O$29,'Tangible Benefits'!$O$30)=3,SUM('Tangible Benefits'!$O$28,'Tangible Benefits'!$O$29,'Tangible Benefits'!$O$30),"")</f>
        <v>68400.0</v>
      </c>
      <c r="P31" s="20"/>
      <c r="Q31" s="20"/>
      <c r="R31" s="20"/>
      <c r="S31" s="20"/>
      <c r="T31" s="20"/>
      <c r="V31" s="7"/>
    </row>
    <row r="32" spans="2:22" ht="6.75" customHeight="1">
      <c r="B32" s="5"/>
      <c r="V32" s="7"/>
    </row>
    <row r="33" spans="2:22" ht="14.25" customHeight="1">
      <c r="B33" s="5"/>
      <c r="C33" s="44" t="s">
        <v>67</v>
      </c>
      <c r="D33" s="44"/>
      <c r="E33" s="44"/>
      <c r="F33" s="44"/>
      <c r="G33" s="44"/>
      <c r="H33" s="44"/>
      <c r="I33" s="44"/>
      <c r="J33" s="44"/>
      <c r="K33" s="44"/>
      <c r="L33" s="44"/>
      <c r="M33" s="44"/>
      <c r="N33" s="44"/>
      <c r="O33" s="44"/>
      <c r="P33" s="44"/>
      <c r="Q33" s="44"/>
      <c r="R33" s="44"/>
      <c r="S33" s="44"/>
      <c r="T33" s="44"/>
      <c r="U33" s="44"/>
      <c r="V33" s="7"/>
    </row>
    <row r="34" spans="2:22">
      <c r="B34" s="5"/>
      <c r="C34" s="45" t="s">
        <v>68</v>
      </c>
      <c r="D34" s="45"/>
      <c r="E34" s="45"/>
      <c r="F34" s="45"/>
      <c r="G34" s="45"/>
      <c r="H34" s="45"/>
      <c r="I34" s="45"/>
      <c r="J34" s="45"/>
      <c r="K34" s="45"/>
      <c r="L34" s="45"/>
      <c r="M34" s="45"/>
      <c r="N34" s="45"/>
      <c r="O34" s="45"/>
      <c r="P34" s="46">
        <f>IF(COUNT('Tangible Benefits'!$G$31,'Tangible Benefits'!$O$31)=2,'Tangible Benefits'!$G$31-'Tangible Benefits'!$O$31,"")</f>
        <v>75600.0</v>
      </c>
      <c r="Q34" s="46"/>
      <c r="R34" s="46"/>
      <c r="S34" s="46"/>
      <c r="T34" s="46"/>
      <c r="U34" s="46"/>
      <c r="V34" s="7"/>
    </row>
    <row r="35" spans="2:22" ht="3.75" customHeight="1">
      <c r="B35" s="5"/>
      <c r="V35" s="7"/>
    </row>
    <row r="36" spans="2:22" ht="12" customHeight="1">
      <c r="B36" s="5"/>
      <c r="C36" s="44" t="s">
        <v>69</v>
      </c>
      <c r="D36" s="44"/>
      <c r="E36" s="44"/>
      <c r="F36" s="44"/>
      <c r="G36" s="44"/>
      <c r="H36" s="44"/>
      <c r="I36" s="44"/>
      <c r="J36" s="44"/>
      <c r="K36" s="44"/>
      <c r="L36" s="44"/>
      <c r="M36" s="44"/>
      <c r="N36" s="44"/>
      <c r="O36" s="44"/>
      <c r="P36" s="44"/>
      <c r="Q36" s="44"/>
      <c r="R36" s="44"/>
      <c r="S36" s="44"/>
      <c r="T36" s="44"/>
      <c r="U36" s="44"/>
      <c r="V36" s="7"/>
    </row>
    <row r="37" spans="2:22" ht="12" customHeight="1">
      <c r="B37" s="5"/>
      <c r="C37" s="45" t="s">
        <v>70</v>
      </c>
      <c r="D37" s="45"/>
      <c r="E37" s="45"/>
      <c r="F37" s="45"/>
      <c r="G37" s="45"/>
      <c r="H37" s="45"/>
      <c r="I37" s="45"/>
      <c r="J37" s="45"/>
      <c r="K37" s="45"/>
      <c r="L37" s="45"/>
      <c r="M37" s="45"/>
      <c r="N37" s="45"/>
      <c r="O37" s="45"/>
      <c r="P37" s="46">
        <f>IF(COUNT('Tangible Benefits'!$P$34,'Tangible Benefits'!$P$22)=2,SUM('Tangible Benefits'!$P$34,'Tangible Benefits'!$P$22),"")</f>
        <v>80290.0</v>
      </c>
      <c r="Q37" s="46"/>
      <c r="R37" s="46"/>
      <c r="S37" s="46"/>
      <c r="T37" s="46"/>
      <c r="U37" s="46"/>
      <c r="V37" s="7"/>
    </row>
    <row r="38" spans="2:22" ht="2.25" customHeight="1">
      <c r="B38" s="29"/>
      <c r="C38" s="30"/>
      <c r="D38" s="30"/>
      <c r="E38" s="30"/>
      <c r="F38" s="30"/>
      <c r="G38" s="30"/>
      <c r="H38" s="30"/>
      <c r="I38" s="30"/>
      <c r="J38" s="30"/>
      <c r="K38" s="30"/>
      <c r="L38" s="30"/>
      <c r="M38" s="30"/>
      <c r="N38" s="30"/>
      <c r="O38" s="30"/>
      <c r="P38" s="30"/>
      <c r="Q38" s="30"/>
      <c r="R38" s="30"/>
      <c r="S38" s="30"/>
      <c r="T38" s="30"/>
      <c r="U38" s="30"/>
      <c r="V38" s="31"/>
    </row>
    <row r="39" spans="2:22" ht="20.25" customHeight="1"/>
    <row r="40" spans="2:22" ht="69" customHeight="1">
      <c r="B40" s="9" t="s">
        <v>71</v>
      </c>
      <c r="C40" s="9"/>
      <c r="D40" s="9"/>
      <c r="E40" s="9"/>
      <c r="F40" s="9"/>
      <c r="G40" s="9"/>
      <c r="H40" s="9"/>
      <c r="I40" s="9"/>
      <c r="J40" s="9"/>
      <c r="K40" s="9"/>
      <c r="L40" s="9"/>
      <c r="M40" s="9"/>
      <c r="N40" s="9"/>
      <c r="O40" s="9"/>
      <c r="P40" s="9"/>
      <c r="Q40" s="9"/>
      <c r="R40" s="9"/>
      <c r="S40" s="9"/>
      <c r="T40" s="9"/>
      <c r="U40" s="9"/>
      <c r="V40" s="9"/>
    </row>
    <row r="41" spans="2:22" ht="17.25" customHeight="1"/>
    <row r="42" spans="2:22" ht="59.25" customHeight="1">
      <c r="B42" s="8" t="s">
        <v>72</v>
      </c>
      <c r="C42" s="8"/>
      <c r="D42" s="8"/>
      <c r="E42" s="8"/>
      <c r="F42" s="8"/>
      <c r="G42" s="8"/>
      <c r="H42" s="8"/>
      <c r="I42" s="8"/>
      <c r="J42" s="8"/>
      <c r="K42" s="8"/>
      <c r="L42" s="8"/>
      <c r="M42" s="8"/>
      <c r="N42" s="8"/>
      <c r="O42" s="8"/>
      <c r="P42" s="8"/>
      <c r="Q42" s="8"/>
      <c r="R42" s="8"/>
      <c r="S42" s="8"/>
      <c r="T42" s="8"/>
      <c r="U42" s="8"/>
      <c r="V42" s="8"/>
    </row>
    <row r="43" spans="2:22" ht="135" customHeight="1"/>
    <row r="44" spans="2:22" ht="14.25" customHeight="1">
      <c r="B44" s="33" t="s">
        <v>1</v>
      </c>
      <c r="C44" s="33"/>
      <c r="D44" s="33"/>
      <c r="E44" s="33"/>
      <c r="F44" s="33"/>
      <c r="G44" s="33"/>
      <c r="H44" s="33"/>
      <c r="I44" s="33"/>
      <c r="J44" s="33"/>
      <c r="K44" s="33"/>
      <c r="L44" s="33"/>
      <c r="M44" s="33"/>
      <c r="N44" s="33"/>
      <c r="O44" s="33"/>
      <c r="P44" s="33"/>
      <c r="Q44" s="33"/>
      <c r="S44" s="34" t="s">
        <v>43</v>
      </c>
      <c r="T44" s="34"/>
      <c r="U44" s="34"/>
      <c r="V44" s="34"/>
    </row>
    <row r="45" spans="2:22" ht="27" customHeight="1"/>
  </sheetData>
  <mergeCells count="99">
    <mergeCell ref="B2:V2"/>
    <mergeCell ref="C4:S4"/>
    <mergeCell ref="B44:Q44"/>
    <mergeCell ref="S44:V44"/>
    <mergeCell ref="C7:U7"/>
    <mergeCell ref="C8:U8"/>
    <mergeCell ref="C10:I10"/>
    <mergeCell ref="D11:E11"/>
    <mergeCell ref="F11:G11"/>
    <mergeCell ref="H11:I11"/>
    <mergeCell ref="D12:E12"/>
    <mergeCell ref="F12:G12"/>
    <mergeCell ref="H12:I12"/>
    <mergeCell ref="D13:E13"/>
    <mergeCell ref="F13:G13"/>
    <mergeCell ref="H13:I13"/>
    <mergeCell ref="D14:E14"/>
    <mergeCell ref="F14:G14"/>
    <mergeCell ref="H14:I14"/>
    <mergeCell ref="D15:E15"/>
    <mergeCell ref="F15:G15"/>
    <mergeCell ref="H15:I15"/>
    <mergeCell ref="D16:E16"/>
    <mergeCell ref="F16:G16"/>
    <mergeCell ref="H16:I16"/>
    <mergeCell ref="D17:E17"/>
    <mergeCell ref="F17:G17"/>
    <mergeCell ref="H17:I17"/>
    <mergeCell ref="D18:E18"/>
    <mergeCell ref="F18:G18"/>
    <mergeCell ref="H18:I18"/>
    <mergeCell ref="C19:G19"/>
    <mergeCell ref="H19:I19"/>
    <mergeCell ref="K10:U10"/>
    <mergeCell ref="L11:M11"/>
    <mergeCell ref="N11:P11"/>
    <mergeCell ref="Q11:U11"/>
    <mergeCell ref="L12:M12"/>
    <mergeCell ref="N12:P12"/>
    <mergeCell ref="Q12:U12"/>
    <mergeCell ref="L13:M13"/>
    <mergeCell ref="N13:P13"/>
    <mergeCell ref="Q13:U13"/>
    <mergeCell ref="L14:M14"/>
    <mergeCell ref="N14:P14"/>
    <mergeCell ref="Q14:U14"/>
    <mergeCell ref="L15:M15"/>
    <mergeCell ref="N15:P15"/>
    <mergeCell ref="Q15:U15"/>
    <mergeCell ref="L16:M16"/>
    <mergeCell ref="N16:P16"/>
    <mergeCell ref="Q16:U16"/>
    <mergeCell ref="L17:M17"/>
    <mergeCell ref="N17:P17"/>
    <mergeCell ref="Q17:U17"/>
    <mergeCell ref="K19:P19"/>
    <mergeCell ref="Q19:U19"/>
    <mergeCell ref="C21:U21"/>
    <mergeCell ref="C22:O22"/>
    <mergeCell ref="P22:U22"/>
    <mergeCell ref="C24:U24"/>
    <mergeCell ref="C26:H26"/>
    <mergeCell ref="C27:D27"/>
    <mergeCell ref="E27:F27"/>
    <mergeCell ref="G27:H27"/>
    <mergeCell ref="C28:D28"/>
    <mergeCell ref="E28:F28"/>
    <mergeCell ref="G28:H28"/>
    <mergeCell ref="C29:D29"/>
    <mergeCell ref="E29:F29"/>
    <mergeCell ref="G29:H29"/>
    <mergeCell ref="C30:D30"/>
    <mergeCell ref="E30:F30"/>
    <mergeCell ref="G30:H30"/>
    <mergeCell ref="C31:F31"/>
    <mergeCell ref="G31:H31"/>
    <mergeCell ref="K26:T26"/>
    <mergeCell ref="K27:L27"/>
    <mergeCell ref="M27:N27"/>
    <mergeCell ref="O27:T27"/>
    <mergeCell ref="K28:L28"/>
    <mergeCell ref="M28:N28"/>
    <mergeCell ref="O28:T28"/>
    <mergeCell ref="K29:L29"/>
    <mergeCell ref="M29:N29"/>
    <mergeCell ref="O29:T29"/>
    <mergeCell ref="K30:L30"/>
    <mergeCell ref="M30:N30"/>
    <mergeCell ref="O30:T30"/>
    <mergeCell ref="K31:N31"/>
    <mergeCell ref="O31:T31"/>
    <mergeCell ref="C33:U33"/>
    <mergeCell ref="C34:O34"/>
    <mergeCell ref="P34:U34"/>
    <mergeCell ref="C36:U36"/>
    <mergeCell ref="C37:O37"/>
    <mergeCell ref="P37:U37"/>
    <mergeCell ref="B40:V40"/>
    <mergeCell ref="B42:V42"/>
  </mergeCells>
  <dataValidations count="26">
    <dataValidation type="decimal" operator="greaterThanOrEqual" allowBlank="1" showInputMessage="1" showErrorMessage="1" error="Enter a documented non-negative number or leave blank." sqref="D12:E12">
      <formula1>0</formula1>
    </dataValidation>
    <dataValidation type="decimal" operator="greaterThanOrEqual" allowBlank="1" showInputMessage="1" showErrorMessage="1" error="Enter a documented non-negative number or leave blank." sqref="F12:G12">
      <formula1>0</formula1>
    </dataValidation>
    <dataValidation type="decimal" operator="greaterThanOrEqual" allowBlank="1" showInputMessage="1" showErrorMessage="1" error="Enter a documented non-negative number or leave blank." sqref="D13:E13">
      <formula1>0</formula1>
    </dataValidation>
    <dataValidation type="decimal" operator="greaterThanOrEqual" allowBlank="1" showInputMessage="1" showErrorMessage="1" error="Enter a documented non-negative number or leave blank." sqref="F13:G13">
      <formula1>0</formula1>
    </dataValidation>
    <dataValidation type="decimal" operator="greaterThanOrEqual" allowBlank="1" showInputMessage="1" showErrorMessage="1" error="Enter a documented non-negative number or leave blank." sqref="D14:E14">
      <formula1>0</formula1>
    </dataValidation>
    <dataValidation type="decimal" operator="greaterThanOrEqual" allowBlank="1" showInputMessage="1" showErrorMessage="1" error="Enter a documented non-negative number or leave blank." sqref="F14:G14">
      <formula1>0</formula1>
    </dataValidation>
    <dataValidation type="decimal" operator="greaterThanOrEqual" allowBlank="1" showInputMessage="1" showErrorMessage="1" error="Enter a documented non-negative number or leave blank." sqref="D15:E15">
      <formula1>0</formula1>
    </dataValidation>
    <dataValidation type="decimal" operator="greaterThanOrEqual" allowBlank="1" showInputMessage="1" showErrorMessage="1" error="Enter a documented non-negative number or leave blank." sqref="F15:G15">
      <formula1>0</formula1>
    </dataValidation>
    <dataValidation type="decimal" operator="greaterThanOrEqual" allowBlank="1" showInputMessage="1" showErrorMessage="1" error="Enter a documented non-negative number or leave blank." sqref="D16:E16">
      <formula1>0</formula1>
    </dataValidation>
    <dataValidation type="decimal" operator="greaterThanOrEqual" allowBlank="1" showInputMessage="1" showErrorMessage="1" error="Enter a documented non-negative number or leave blank." sqref="F16:G16">
      <formula1>0</formula1>
    </dataValidation>
    <dataValidation type="decimal" operator="greaterThanOrEqual" allowBlank="1" showInputMessage="1" showErrorMessage="1" error="Enter a documented non-negative number or leave blank." sqref="D17:E17">
      <formula1>0</formula1>
    </dataValidation>
    <dataValidation type="decimal" operator="greaterThanOrEqual" allowBlank="1" showInputMessage="1" showErrorMessage="1" error="Enter a documented non-negative number or leave blank." sqref="F17:G17">
      <formula1>0</formula1>
    </dataValidation>
    <dataValidation type="decimal" operator="greaterThanOrEqual" allowBlank="1" showInputMessage="1" showErrorMessage="1" error="Enter a documented non-negative number or leave blank." sqref="D18:E18">
      <formula1>0</formula1>
    </dataValidation>
    <dataValidation type="decimal" operator="greaterThanOrEqual" allowBlank="1" showInputMessage="1" showErrorMessage="1" error="Enter a documented non-negative number or leave blank." sqref="F18:G18">
      <formula1>0</formula1>
    </dataValidation>
    <dataValidation type="decimal" operator="greaterThanOrEqual" allowBlank="1" showInputMessage="1" showErrorMessage="1" error="Enter a documented non-negative number or leave blank." sqref="L12:M12">
      <formula1>0</formula1>
    </dataValidation>
    <dataValidation type="decimal" operator="greaterThanOrEqual" allowBlank="1" showInputMessage="1" showErrorMessage="1" error="Enter a documented non-negative number or leave blank." sqref="N12:P12">
      <formula1>0</formula1>
    </dataValidation>
    <dataValidation type="decimal" operator="greaterThanOrEqual" allowBlank="1" showInputMessage="1" showErrorMessage="1" error="Enter a documented non-negative number or leave blank." sqref="L13:M13">
      <formula1>0</formula1>
    </dataValidation>
    <dataValidation type="decimal" operator="greaterThanOrEqual" allowBlank="1" showInputMessage="1" showErrorMessage="1" error="Enter a documented non-negative number or leave blank." sqref="N13:P13">
      <formula1>0</formula1>
    </dataValidation>
    <dataValidation type="decimal" operator="greaterThanOrEqual" allowBlank="1" showInputMessage="1" showErrorMessage="1" error="Enter a documented non-negative number or leave blank." sqref="L14:M14">
      <formula1>0</formula1>
    </dataValidation>
    <dataValidation type="decimal" operator="greaterThanOrEqual" allowBlank="1" showInputMessage="1" showErrorMessage="1" error="Enter a documented non-negative number or leave blank." sqref="N14:P14">
      <formula1>0</formula1>
    </dataValidation>
    <dataValidation type="decimal" operator="greaterThanOrEqual" allowBlank="1" showInputMessage="1" showErrorMessage="1" error="Enter a documented non-negative number or leave blank." sqref="L15:M15">
      <formula1>0</formula1>
    </dataValidation>
    <dataValidation type="decimal" operator="greaterThanOrEqual" allowBlank="1" showInputMessage="1" showErrorMessage="1" error="Enter a documented non-negative number or leave blank." sqref="N15:P15">
      <formula1>0</formula1>
    </dataValidation>
    <dataValidation type="decimal" operator="greaterThanOrEqual" allowBlank="1" showInputMessage="1" showErrorMessage="1" error="Enter a documented non-negative number or leave blank." sqref="L16:M16">
      <formula1>0</formula1>
    </dataValidation>
    <dataValidation type="decimal" operator="greaterThanOrEqual" allowBlank="1" showInputMessage="1" showErrorMessage="1" error="Enter a documented non-negative number or leave blank." sqref="N16:P16">
      <formula1>0</formula1>
    </dataValidation>
    <dataValidation type="decimal" operator="greaterThanOrEqual" allowBlank="1" showInputMessage="1" showErrorMessage="1" error="Enter a documented non-negative number or leave blank." sqref="L17:M17">
      <formula1>0</formula1>
    </dataValidation>
    <dataValidation type="decimal" operator="greaterThanOrEqual" allowBlank="1" showInputMessage="1" showErrorMessage="1" error="Enter a documented non-negative number or leave blank." sqref="N17:P17">
      <formula1>0</formula1>
    </dataValidation>
  </dataValidations>
  <pageMargins left="0" right="0" top="0" bottom="0"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sheetPr>
    <tabColor rgb="FFB5D6A4"/>
    <pageSetUpPr fitToPage="1"/>
  </sheetPr>
  <dimension ref="A1:H39"/>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7109375" customWidth="1"/>
    <col min="2" max="2" width="7.42578125" customWidth="1"/>
    <col min="3" max="3" width="45.28515625" customWidth="1"/>
    <col min="4" max="4" width="7" customWidth="1"/>
    <col min="5" max="5" width="21" customWidth="1"/>
    <col min="6" max="6" width="12.5703125" customWidth="1"/>
    <col min="7" max="7" width="0.140625" customWidth="1"/>
    <col min="8" max="8" width="8.42578125" customWidth="1"/>
    <col min="9" max="9" width="5.7109375" customWidth="1"/>
  </cols>
  <sheetData>
    <row r="1" spans="2:8" ht="53.25" customHeight="1"/>
    <row r="2" spans="2:8" ht="29.25" customHeight="1">
      <c r="B2" s="48" t="s">
        <v>73</v>
      </c>
      <c r="C2" s="48"/>
      <c r="D2" s="48"/>
      <c r="E2" s="48"/>
      <c r="F2" s="48"/>
      <c r="G2" s="48"/>
      <c r="H2" s="48"/>
    </row>
    <row r="3" spans="2:8" ht="17.25" customHeight="1"/>
    <row r="4" spans="2:8" ht="35.25" customHeight="1">
      <c r="B4" s="49" t="s">
        <v>74</v>
      </c>
      <c r="C4" s="49" t="s">
        <v>75</v>
      </c>
      <c r="D4" s="49" t="s">
        <v>76</v>
      </c>
      <c r="E4" s="49" t="s">
        <v>77</v>
      </c>
      <c r="F4" s="49" t="s">
        <v>78</v>
      </c>
      <c r="G4" s="49"/>
      <c r="H4" s="49"/>
    </row>
    <row r="5" spans="2:8" ht="18" customHeight="1">
      <c r="B5" s="50">
        <v>1</v>
      </c>
      <c r="C5" s="50" t="s">
        <v>79</v>
      </c>
      <c r="D5" s="50">
        <v>19</v>
      </c>
      <c r="E5" s="50" t="s">
        <v>80</v>
      </c>
      <c r="F5" s="50" t="s">
        <v>80</v>
      </c>
      <c r="G5" s="50"/>
      <c r="H5" s="50"/>
    </row>
    <row r="6" spans="2:8" ht="18" customHeight="1">
      <c r="B6" s="51">
        <v>2</v>
      </c>
      <c r="C6" s="51" t="s">
        <v>81</v>
      </c>
      <c r="D6" s="51">
        <v>23</v>
      </c>
      <c r="E6" s="51">
        <v>42</v>
      </c>
      <c r="F6" s="51">
        <v>19</v>
      </c>
      <c r="G6" s="51"/>
      <c r="H6" s="51"/>
    </row>
    <row r="7" spans="2:8" ht="18" customHeight="1">
      <c r="B7" s="50">
        <v>3</v>
      </c>
      <c r="C7" s="50" t="s">
        <v>82</v>
      </c>
      <c r="D7" s="50">
        <v>13</v>
      </c>
      <c r="E7" s="50" t="s">
        <v>80</v>
      </c>
      <c r="F7" s="50" t="s">
        <v>80</v>
      </c>
      <c r="G7" s="50"/>
      <c r="H7" s="50"/>
    </row>
    <row r="8" spans="2:8" ht="18" customHeight="1">
      <c r="B8" s="51">
        <v>4</v>
      </c>
      <c r="C8" s="51" t="s">
        <v>83</v>
      </c>
      <c r="D8" s="51">
        <v>4</v>
      </c>
      <c r="E8" s="51" t="s">
        <v>80</v>
      </c>
      <c r="F8" s="51" t="s">
        <v>80</v>
      </c>
      <c r="G8" s="51"/>
      <c r="H8" s="51"/>
    </row>
    <row r="9" spans="2:8" ht="18" customHeight="1">
      <c r="B9" s="50">
        <v>5</v>
      </c>
      <c r="C9" s="50" t="s">
        <v>84</v>
      </c>
      <c r="D9" s="50">
        <v>4</v>
      </c>
      <c r="E9" s="50" t="s">
        <v>80</v>
      </c>
      <c r="F9" s="50" t="s">
        <v>80</v>
      </c>
      <c r="G9" s="50"/>
      <c r="H9" s="50"/>
    </row>
    <row r="10" spans="2:8" ht="18" customHeight="1">
      <c r="B10" s="51">
        <v>6</v>
      </c>
      <c r="C10" s="51" t="s">
        <v>85</v>
      </c>
      <c r="D10" s="51">
        <v>14</v>
      </c>
      <c r="E10" s="51" t="s">
        <v>80</v>
      </c>
      <c r="F10" s="51" t="s">
        <v>80</v>
      </c>
      <c r="G10" s="51"/>
      <c r="H10" s="51"/>
    </row>
    <row r="11" spans="2:8" ht="18" customHeight="1">
      <c r="B11" s="50">
        <v>7</v>
      </c>
      <c r="C11" s="50" t="s">
        <v>86</v>
      </c>
      <c r="D11" s="50">
        <v>5</v>
      </c>
      <c r="E11" s="50" t="s">
        <v>80</v>
      </c>
      <c r="F11" s="50" t="s">
        <v>80</v>
      </c>
      <c r="G11" s="50"/>
      <c r="H11" s="50"/>
    </row>
    <row r="12" spans="2:8" ht="18" customHeight="1">
      <c r="B12" s="51">
        <v>8</v>
      </c>
      <c r="C12" s="51" t="s">
        <v>87</v>
      </c>
      <c r="D12" s="51">
        <v>4</v>
      </c>
      <c r="E12" s="51" t="s">
        <v>80</v>
      </c>
      <c r="F12" s="51" t="s">
        <v>80</v>
      </c>
      <c r="G12" s="51"/>
      <c r="H12" s="51"/>
    </row>
    <row r="13" spans="2:8" ht="18" customHeight="1">
      <c r="B13" s="50">
        <v>9</v>
      </c>
      <c r="C13" s="50" t="s">
        <v>88</v>
      </c>
      <c r="D13" s="50">
        <v>3</v>
      </c>
      <c r="E13" s="50" t="s">
        <v>80</v>
      </c>
      <c r="F13" s="50" t="s">
        <v>80</v>
      </c>
      <c r="G13" s="50"/>
      <c r="H13" s="50"/>
    </row>
    <row r="14" spans="2:8" ht="18" customHeight="1">
      <c r="B14" s="51">
        <v>10</v>
      </c>
      <c r="C14" s="51" t="s">
        <v>89</v>
      </c>
      <c r="D14" s="51">
        <v>5</v>
      </c>
      <c r="E14" s="51" t="s">
        <v>80</v>
      </c>
      <c r="F14" s="51" t="s">
        <v>80</v>
      </c>
      <c r="G14" s="51"/>
      <c r="H14" s="51"/>
    </row>
    <row r="15" spans="2:8" ht="18" customHeight="1">
      <c r="B15" s="50">
        <v>11</v>
      </c>
      <c r="C15" s="50" t="s">
        <v>90</v>
      </c>
      <c r="D15" s="50">
        <v>2</v>
      </c>
      <c r="E15" s="50" t="s">
        <v>80</v>
      </c>
      <c r="F15" s="50" t="s">
        <v>80</v>
      </c>
      <c r="G15" s="50"/>
      <c r="H15" s="50"/>
    </row>
    <row r="16" spans="2:8" ht="18" customHeight="1">
      <c r="B16" s="51">
        <v>12</v>
      </c>
      <c r="C16" s="51" t="s">
        <v>91</v>
      </c>
      <c r="D16" s="51">
        <v>10</v>
      </c>
      <c r="E16" s="51" t="s">
        <v>80</v>
      </c>
      <c r="F16" s="51" t="s">
        <v>80</v>
      </c>
      <c r="G16" s="51"/>
      <c r="H16" s="51"/>
    </row>
    <row r="17" spans="2:8" ht="18" customHeight="1">
      <c r="B17" s="50">
        <v>13</v>
      </c>
      <c r="C17" s="50" t="s">
        <v>92</v>
      </c>
      <c r="D17" s="50">
        <v>8</v>
      </c>
      <c r="E17" s="50" t="s">
        <v>80</v>
      </c>
      <c r="F17" s="50" t="s">
        <v>80</v>
      </c>
      <c r="G17" s="50"/>
      <c r="H17" s="50"/>
    </row>
    <row r="18" spans="2:8" ht="18" customHeight="1">
      <c r="B18" s="51">
        <v>14</v>
      </c>
      <c r="C18" s="51" t="s">
        <v>93</v>
      </c>
      <c r="D18" s="51">
        <v>5</v>
      </c>
      <c r="E18" s="51" t="s">
        <v>80</v>
      </c>
      <c r="F18" s="51" t="s">
        <v>80</v>
      </c>
      <c r="G18" s="51"/>
      <c r="H18" s="51"/>
    </row>
    <row r="19" spans="2:8" ht="18" customHeight="1">
      <c r="B19" s="50">
        <v>15</v>
      </c>
      <c r="C19" s="50" t="s">
        <v>94</v>
      </c>
      <c r="D19" s="50">
        <v>4</v>
      </c>
      <c r="E19" s="50" t="s">
        <v>80</v>
      </c>
      <c r="F19" s="50" t="s">
        <v>80</v>
      </c>
      <c r="G19" s="50"/>
      <c r="H19" s="50"/>
    </row>
    <row r="20" spans="2:8" ht="18" customHeight="1">
      <c r="B20" s="51">
        <v>16</v>
      </c>
      <c r="C20" s="51" t="s">
        <v>95</v>
      </c>
      <c r="D20" s="51">
        <v>5</v>
      </c>
      <c r="E20" s="51" t="s">
        <v>80</v>
      </c>
      <c r="F20" s="51" t="s">
        <v>80</v>
      </c>
      <c r="G20" s="51"/>
      <c r="H20" s="51"/>
    </row>
    <row r="21" spans="2:8" ht="18" customHeight="1">
      <c r="B21" s="50">
        <v>17</v>
      </c>
      <c r="C21" s="50" t="s">
        <v>96</v>
      </c>
      <c r="D21" s="50">
        <v>225</v>
      </c>
      <c r="E21" s="50">
        <v>300</v>
      </c>
      <c r="F21" s="50">
        <v>75</v>
      </c>
      <c r="G21" s="50"/>
      <c r="H21" s="50"/>
    </row>
    <row r="22" spans="2:8" ht="18" customHeight="1">
      <c r="B22" s="51">
        <v>18</v>
      </c>
      <c r="C22" s="51" t="s">
        <v>97</v>
      </c>
      <c r="D22" s="51">
        <v>27</v>
      </c>
      <c r="E22" s="51" t="s">
        <v>80</v>
      </c>
      <c r="F22" s="51" t="s">
        <v>80</v>
      </c>
      <c r="G22" s="51"/>
      <c r="H22" s="51"/>
    </row>
    <row r="23" spans="2:8" ht="18" customHeight="1">
      <c r="B23" s="50">
        <v>19</v>
      </c>
      <c r="C23" s="50" t="s">
        <v>98</v>
      </c>
      <c r="D23" s="50">
        <v>56</v>
      </c>
      <c r="E23" s="50" t="s">
        <v>80</v>
      </c>
      <c r="F23" s="50" t="s">
        <v>80</v>
      </c>
      <c r="G23" s="50"/>
      <c r="H23" s="50"/>
    </row>
    <row r="24" spans="2:8" ht="18" customHeight="1">
      <c r="B24" s="51">
        <v>20</v>
      </c>
      <c r="C24" s="51" t="s">
        <v>99</v>
      </c>
      <c r="D24" s="51">
        <v>39</v>
      </c>
      <c r="E24" s="51" t="s">
        <v>80</v>
      </c>
      <c r="F24" s="51" t="s">
        <v>80</v>
      </c>
      <c r="G24" s="51"/>
      <c r="H24" s="51"/>
    </row>
    <row r="25" spans="2:8" ht="18" customHeight="1">
      <c r="B25" s="50">
        <v>21</v>
      </c>
      <c r="C25" s="50" t="s">
        <v>100</v>
      </c>
      <c r="D25" s="50">
        <v>33</v>
      </c>
      <c r="E25" s="50" t="s">
        <v>80</v>
      </c>
      <c r="F25" s="50" t="s">
        <v>80</v>
      </c>
      <c r="G25" s="50"/>
      <c r="H25" s="50"/>
    </row>
    <row r="26" spans="2:8" ht="18" customHeight="1">
      <c r="B26" s="51">
        <v>22</v>
      </c>
      <c r="C26" s="51" t="s">
        <v>101</v>
      </c>
      <c r="D26" s="51">
        <v>64</v>
      </c>
      <c r="E26" s="51" t="s">
        <v>80</v>
      </c>
      <c r="F26" s="51" t="s">
        <v>80</v>
      </c>
      <c r="G26" s="51"/>
      <c r="H26" s="51"/>
    </row>
    <row r="27" spans="2:8" ht="18" customHeight="1">
      <c r="B27" s="50">
        <v>23</v>
      </c>
      <c r="C27" s="50" t="s">
        <v>102</v>
      </c>
      <c r="D27" s="50">
        <v>41</v>
      </c>
      <c r="E27" s="50" t="s">
        <v>80</v>
      </c>
      <c r="F27" s="50" t="s">
        <v>80</v>
      </c>
      <c r="G27" s="50"/>
      <c r="H27" s="50"/>
    </row>
    <row r="28" spans="2:8" ht="18" customHeight="1">
      <c r="B28" s="51">
        <v>24</v>
      </c>
      <c r="C28" s="51" t="s">
        <v>103</v>
      </c>
      <c r="D28" s="51">
        <v>2</v>
      </c>
      <c r="E28" s="51" t="s">
        <v>80</v>
      </c>
      <c r="F28" s="51" t="s">
        <v>80</v>
      </c>
      <c r="G28" s="51"/>
      <c r="H28" s="51"/>
    </row>
    <row r="29" spans="2:8" ht="18" customHeight="1">
      <c r="B29" s="50">
        <v>25</v>
      </c>
      <c r="C29" s="50" t="s">
        <v>104</v>
      </c>
      <c r="D29" s="50">
        <v>2</v>
      </c>
      <c r="E29" s="50" t="s">
        <v>80</v>
      </c>
      <c r="F29" s="50" t="s">
        <v>80</v>
      </c>
      <c r="G29" s="50"/>
      <c r="H29" s="50"/>
    </row>
    <row r="30" spans="2:8" ht="18" customHeight="1">
      <c r="B30" s="51">
        <v>26</v>
      </c>
      <c r="C30" s="51" t="s">
        <v>105</v>
      </c>
      <c r="D30" s="51">
        <v>141</v>
      </c>
      <c r="E30" s="51">
        <v>510</v>
      </c>
      <c r="F30" s="51">
        <v>369</v>
      </c>
      <c r="G30" s="51"/>
      <c r="H30" s="51"/>
    </row>
    <row r="31" spans="2:8" ht="44.25" customHeight="1"/>
    <row r="32" spans="2:8" ht="18" customHeight="1">
      <c r="B32" s="36" t="s">
        <v>106</v>
      </c>
      <c r="C32" s="36"/>
      <c r="D32" s="36"/>
      <c r="E32" s="36"/>
      <c r="F32" s="36"/>
      <c r="G32" s="36"/>
      <c r="H32" s="36"/>
    </row>
    <row r="33" spans="2:8" ht="9.75" customHeight="1"/>
    <row r="34" spans="2:8" ht="51.75" customHeight="1">
      <c r="B34" s="52" t="s">
        <v>107</v>
      </c>
      <c r="C34" s="52"/>
      <c r="D34" s="52"/>
      <c r="E34" s="52"/>
      <c r="F34" s="52"/>
      <c r="G34" s="52"/>
      <c r="H34" s="52"/>
    </row>
    <row r="35" spans="2:8" ht="17.25" customHeight="1"/>
    <row r="36" spans="2:8" ht="30.75" customHeight="1">
      <c r="B36" s="32" t="s">
        <v>108</v>
      </c>
      <c r="C36" s="32"/>
      <c r="D36" s="32"/>
      <c r="E36" s="32"/>
      <c r="F36" s="32"/>
      <c r="G36" s="32"/>
      <c r="H36" s="32"/>
    </row>
    <row r="37" spans="2:8" ht="27" customHeight="1"/>
    <row r="38" spans="2:8" ht="14.25" customHeight="1">
      <c r="B38" s="33" t="s">
        <v>109</v>
      </c>
      <c r="C38" s="33"/>
      <c r="D38" s="33"/>
      <c r="E38" s="33"/>
      <c r="F38" s="33"/>
      <c r="H38" s="34" t="s">
        <v>110</v>
      </c>
    </row>
    <row r="39" spans="2:8" ht="27" customHeight="1"/>
  </sheetData>
  <mergeCells count="32">
    <mergeCell ref="B2:H2"/>
    <mergeCell ref="F4:H4"/>
    <mergeCell ref="F5:H5"/>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B32:H32"/>
    <mergeCell ref="B34:H34"/>
    <mergeCell ref="B36:H36"/>
    <mergeCell ref="B38:F38"/>
  </mergeCells>
  <pageMargins left="0" right="0" top="0" bottom="0" header="0.3" footer="0.3"/>
  <pageSetup paperSize="9" orientation="portrait"/>
</worksheet>
</file>

<file path=xl/worksheets/sheet5.xml><?xml version="1.0" encoding="utf-8"?>
<worksheet xmlns="http://schemas.openxmlformats.org/spreadsheetml/2006/main" xmlns:r="http://schemas.openxmlformats.org/officeDocument/2006/relationships">
  <sheetPr>
    <tabColor rgb="FF6A1839"/>
    <pageSetUpPr fitToPage="1"/>
  </sheetPr>
  <dimension ref="A1:G40"/>
  <sheetViews>
    <sheetView showGridLines="0" zoomScale="90" zoomScaleNormal="90" workbookViewId="0">
      <pane ySplit="6" topLeftCell="A7" activePane="bottomLeft" state="frozen"/>
      <selection pane="bottomLeft"/>
    </sheetView>
  </sheetViews>
  <sheetFormatPr defaultRowHeight="15"/>
  <cols>
    <col min="1" max="1" width="6.7109375" customWidth="1"/>
    <col min="2" max="2" width="50.42578125" customWidth="1"/>
    <col min="3" max="3" width="15.28515625" customWidth="1"/>
    <col min="4" max="4" width="25.7109375" customWidth="1"/>
    <col min="5" max="5" width="1.140625" customWidth="1"/>
    <col min="6" max="6" width="7.42578125" customWidth="1"/>
    <col min="7" max="7" width="1" customWidth="1"/>
    <col min="8" max="8" width="5.7109375" customWidth="1"/>
  </cols>
  <sheetData>
    <row r="1" spans="2:6" ht="38.25" customHeight="1"/>
    <row r="2" spans="2:6" ht="27" customHeight="1">
      <c r="B2" s="53" t="s">
        <v>111</v>
      </c>
      <c r="C2" s="53"/>
      <c r="D2" s="53"/>
      <c r="E2" s="53"/>
      <c r="F2" s="53"/>
    </row>
    <row r="3" spans="2:6" ht="11.25" customHeight="1"/>
    <row r="4" spans="2:6" ht="42.75" customHeight="1">
      <c r="B4" s="8" t="s">
        <v>112</v>
      </c>
      <c r="C4" s="8"/>
      <c r="D4" s="8"/>
      <c r="E4" s="8"/>
      <c r="F4" s="8"/>
    </row>
    <row r="5" spans="2:6"/>
    <row r="6" spans="2:6" ht="23.25" customHeight="1">
      <c r="B6" s="24" t="s">
        <v>113</v>
      </c>
      <c r="C6" s="24" t="s">
        <v>114</v>
      </c>
      <c r="D6" s="24" t="s">
        <v>115</v>
      </c>
      <c r="E6" s="24"/>
      <c r="F6" s="24"/>
    </row>
    <row r="7" spans="2:6" ht="20.25" customHeight="1">
      <c r="B7" s="14" t="s">
        <v>116</v>
      </c>
      <c r="C7" s="54">
        <v>2</v>
      </c>
      <c r="D7" s="14" t="s">
        <v>117</v>
      </c>
      <c r="E7" s="14"/>
      <c r="F7" s="14"/>
    </row>
    <row r="8" spans="2:6" ht="20.25" customHeight="1">
      <c r="B8" s="14" t="s">
        <v>118</v>
      </c>
      <c r="C8" s="54">
        <v>1</v>
      </c>
      <c r="D8" s="14" t="s">
        <v>119</v>
      </c>
      <c r="E8" s="14"/>
      <c r="F8" s="14"/>
    </row>
    <row r="9" spans="2:6" ht="20.25" customHeight="1">
      <c r="B9" s="14" t="s">
        <v>120</v>
      </c>
      <c r="C9" s="54">
        <v>1</v>
      </c>
      <c r="D9" s="14" t="s">
        <v>121</v>
      </c>
      <c r="E9" s="14"/>
      <c r="F9" s="14"/>
    </row>
    <row r="10" spans="2:6" ht="20.25" customHeight="1">
      <c r="B10" s="14" t="s">
        <v>122</v>
      </c>
      <c r="C10" s="54">
        <v>1</v>
      </c>
      <c r="D10" s="14" t="s">
        <v>123</v>
      </c>
      <c r="E10" s="14"/>
      <c r="F10" s="14"/>
    </row>
    <row r="11" spans="2:6" ht="20.25" customHeight="1">
      <c r="B11" s="14" t="s">
        <v>124</v>
      </c>
      <c r="C11" s="54">
        <v>65</v>
      </c>
      <c r="D11" s="14" t="s">
        <v>125</v>
      </c>
      <c r="E11" s="14"/>
      <c r="F11" s="14"/>
    </row>
    <row r="12" spans="2:6" ht="20.25" customHeight="1">
      <c r="B12" s="14" t="s">
        <v>126</v>
      </c>
      <c r="C12" s="54">
        <v>25</v>
      </c>
      <c r="D12" s="14" t="s">
        <v>127</v>
      </c>
      <c r="E12" s="14"/>
      <c r="F12" s="14"/>
    </row>
    <row r="13" spans="2:6" ht="20.25" customHeight="1">
      <c r="B13" s="14" t="s">
        <v>128</v>
      </c>
      <c r="C13" s="15">
        <v>150</v>
      </c>
      <c r="D13" s="14" t="s">
        <v>129</v>
      </c>
      <c r="E13" s="14"/>
      <c r="F13" s="14"/>
    </row>
    <row r="14" spans="2:6" ht="20.25" customHeight="1">
      <c r="B14" s="14" t="s">
        <v>130</v>
      </c>
      <c r="C14" s="54">
        <v>40</v>
      </c>
      <c r="D14" s="14" t="s">
        <v>131</v>
      </c>
      <c r="E14" s="14"/>
      <c r="F14" s="14"/>
    </row>
    <row r="15" spans="2:6" ht="20.25" customHeight="1">
      <c r="B15" s="14" t="s">
        <v>132</v>
      </c>
      <c r="C15" s="54">
        <v>16</v>
      </c>
      <c r="D15" s="14" t="s">
        <v>131</v>
      </c>
      <c r="E15" s="14"/>
      <c r="F15" s="14"/>
    </row>
    <row r="16" spans="2:6" ht="20.25" customHeight="1">
      <c r="B16" s="14" t="s">
        <v>133</v>
      </c>
      <c r="C16" s="54">
        <v>24</v>
      </c>
      <c r="D16" s="14" t="s">
        <v>131</v>
      </c>
      <c r="E16" s="14"/>
      <c r="F16" s="14"/>
    </row>
    <row r="17" spans="2:6" ht="20.25" customHeight="1">
      <c r="B17" s="14" t="s">
        <v>134</v>
      </c>
      <c r="C17" s="54">
        <v>20</v>
      </c>
      <c r="D17" s="14" t="s">
        <v>131</v>
      </c>
      <c r="E17" s="14"/>
      <c r="F17" s="14"/>
    </row>
    <row r="18" spans="2:6" ht="20.25" customHeight="1">
      <c r="B18" s="14" t="s">
        <v>135</v>
      </c>
      <c r="C18" s="54">
        <v>6</v>
      </c>
      <c r="D18" s="14" t="s">
        <v>131</v>
      </c>
      <c r="E18" s="14"/>
      <c r="F18" s="14"/>
    </row>
    <row r="19" spans="2:6" ht="20.25" customHeight="1">
      <c r="B19" s="14" t="s">
        <v>136</v>
      </c>
      <c r="C19" s="54">
        <v>12</v>
      </c>
      <c r="D19" s="14" t="s">
        <v>131</v>
      </c>
      <c r="E19" s="14"/>
      <c r="F19" s="14"/>
    </row>
    <row r="20" spans="2:6" ht="15.75" customHeight="1"/>
    <row r="21" spans="2:6" ht="54" customHeight="1">
      <c r="B21" s="55" t="s">
        <v>137</v>
      </c>
      <c r="C21" s="55"/>
      <c r="D21" s="55"/>
      <c r="E21" s="55"/>
      <c r="F21" s="55"/>
    </row>
    <row r="22" spans="2:6" ht="9" customHeight="1"/>
    <row r="23" spans="2:6" ht="56.25" customHeight="1">
      <c r="B23" s="55" t="s">
        <v>138</v>
      </c>
      <c r="C23" s="55"/>
      <c r="D23" s="55"/>
      <c r="E23" s="55"/>
      <c r="F23" s="55"/>
    </row>
    <row r="24" spans="2:6" ht="11.25" customHeight="1"/>
    <row r="25" spans="2:6" ht="18" customHeight="1">
      <c r="B25" s="36" t="s">
        <v>139</v>
      </c>
      <c r="C25" s="36"/>
      <c r="D25" s="36"/>
      <c r="E25" s="36"/>
      <c r="F25" s="36"/>
    </row>
    <row r="26" spans="2:6" ht="9" customHeight="1"/>
    <row r="27" spans="2:6" ht="27.75" customHeight="1">
      <c r="B27" s="56" t="s">
        <v>140</v>
      </c>
      <c r="C27" s="56"/>
      <c r="D27" s="56"/>
      <c r="E27" s="56"/>
      <c r="F27" s="56"/>
    </row>
    <row r="28" spans="2:6" ht="2.25" customHeight="1"/>
    <row r="29" spans="2:6" ht="27.75" customHeight="1">
      <c r="B29" s="56" t="s">
        <v>141</v>
      </c>
      <c r="C29" s="56"/>
      <c r="D29" s="56"/>
      <c r="E29" s="56"/>
      <c r="F29" s="56"/>
    </row>
    <row r="30" spans="2:6" ht="2.25" customHeight="1"/>
    <row r="31" spans="2:6" ht="27.75" customHeight="1">
      <c r="B31" s="56" t="s">
        <v>142</v>
      </c>
      <c r="C31" s="56"/>
      <c r="D31" s="56"/>
      <c r="E31" s="56"/>
      <c r="F31" s="56"/>
    </row>
    <row r="32" spans="2:6" ht="2.25" customHeight="1"/>
    <row r="33" spans="2:7" ht="27.75" customHeight="1">
      <c r="B33" s="56" t="s">
        <v>143</v>
      </c>
      <c r="C33" s="56"/>
      <c r="D33" s="56"/>
      <c r="E33" s="56"/>
      <c r="F33" s="56"/>
    </row>
    <row r="34" spans="2:7" ht="2.25" customHeight="1"/>
    <row r="35" spans="2:7" ht="27.75" customHeight="1">
      <c r="B35" s="56" t="s">
        <v>144</v>
      </c>
      <c r="C35" s="56"/>
      <c r="D35" s="56"/>
      <c r="E35" s="56"/>
      <c r="F35" s="56"/>
    </row>
    <row r="36" spans="2:7" ht="2.25" customHeight="1"/>
    <row r="37" spans="2:7" ht="27.75" customHeight="1">
      <c r="B37" s="56" t="s">
        <v>145</v>
      </c>
      <c r="C37" s="56"/>
      <c r="D37" s="56"/>
      <c r="E37" s="56"/>
      <c r="F37" s="56"/>
    </row>
    <row r="38" spans="2:7" ht="33" customHeight="1"/>
    <row r="39" spans="2:7" ht="14.25" customHeight="1">
      <c r="B39" s="33" t="s">
        <v>146</v>
      </c>
      <c r="C39" s="33"/>
      <c r="D39" s="33"/>
      <c r="F39" s="34" t="s">
        <v>147</v>
      </c>
      <c r="G39" s="34"/>
    </row>
    <row r="40" spans="2:7" ht="27" customHeight="1"/>
  </sheetData>
  <mergeCells count="27">
    <mergeCell ref="B2:F2"/>
    <mergeCell ref="B4:F4"/>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B21:F21"/>
    <mergeCell ref="B23:F23"/>
    <mergeCell ref="B25:F25"/>
    <mergeCell ref="B27:F27"/>
    <mergeCell ref="B29:F29"/>
    <mergeCell ref="B31:F31"/>
    <mergeCell ref="B33:F33"/>
    <mergeCell ref="B35:F35"/>
    <mergeCell ref="B37:F37"/>
    <mergeCell ref="B39:D39"/>
    <mergeCell ref="F39:G39"/>
  </mergeCells>
  <dataValidations count="13">
    <dataValidation type="decimal" operator="greaterThanOrEqual" allowBlank="1" showInputMessage="1" showErrorMessage="1" error="Enter a documented non-negative number or leave blank." sqref="C7">
      <formula1>0</formula1>
    </dataValidation>
    <dataValidation type="decimal" operator="greaterThanOrEqual" allowBlank="1" showInputMessage="1" showErrorMessage="1" error="Enter a documented non-negative number or leave blank." sqref="C8">
      <formula1>0</formula1>
    </dataValidation>
    <dataValidation type="decimal" operator="greaterThanOrEqual" allowBlank="1" showInputMessage="1" showErrorMessage="1" error="Enter a documented non-negative number or leave blank." sqref="C9">
      <formula1>0</formula1>
    </dataValidation>
    <dataValidation type="decimal" operator="greaterThanOrEqual" allowBlank="1" showInputMessage="1" showErrorMessage="1" error="Enter a documented non-negative number or leave blank." sqref="C10">
      <formula1>0</formula1>
    </dataValidation>
    <dataValidation type="decimal" operator="greaterThanOrEqual" allowBlank="1" showInputMessage="1" showErrorMessage="1" error="Enter a documented non-negative number or leave blank." sqref="C11">
      <formula1>0</formula1>
    </dataValidation>
    <dataValidation type="decimal" operator="greaterThanOrEqual" allowBlank="1" showInputMessage="1" showErrorMessage="1" error="Enter a documented non-negative number or leave blank." sqref="C12">
      <formula1>0</formula1>
    </dataValidation>
    <dataValidation type="decimal" operator="greaterThanOrEqual" allowBlank="1" showInputMessage="1" showErrorMessage="1" error="Enter a documented non-negative number or leave blank." sqref="C13">
      <formula1>0</formula1>
    </dataValidation>
    <dataValidation type="decimal" operator="greaterThanOrEqual" allowBlank="1" showInputMessage="1" showErrorMessage="1" error="Enter a documented non-negative number or leave blank." sqref="C14">
      <formula1>0</formula1>
    </dataValidation>
    <dataValidation type="decimal" operator="greaterThanOrEqual" allowBlank="1" showInputMessage="1" showErrorMessage="1" error="Enter a documented non-negative number or leave blank." sqref="C15">
      <formula1>0</formula1>
    </dataValidation>
    <dataValidation type="decimal" operator="greaterThanOrEqual" allowBlank="1" showInputMessage="1" showErrorMessage="1" error="Enter a documented non-negative number or leave blank." sqref="C16">
      <formula1>0</formula1>
    </dataValidation>
    <dataValidation type="decimal" operator="greaterThanOrEqual" allowBlank="1" showInputMessage="1" showErrorMessage="1" error="Enter a documented non-negative number or leave blank." sqref="C17">
      <formula1>0</formula1>
    </dataValidation>
    <dataValidation type="decimal" operator="greaterThanOrEqual" allowBlank="1" showInputMessage="1" showErrorMessage="1" error="Enter a documented non-negative number or leave blank." sqref="C18">
      <formula1>0</formula1>
    </dataValidation>
    <dataValidation type="decimal" operator="greaterThanOrEqual" allowBlank="1" showInputMessage="1" showErrorMessage="1" error="Enter a documented non-negative number or leave blank." sqref="C19">
      <formula1>0</formula1>
    </dataValidation>
  </dataValidations>
  <pageMargins left="0" right="0" top="0" bottom="0"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One Time Cost</vt:lpstr>
      <vt:lpstr>Cost Explanation</vt:lpstr>
      <vt:lpstr>Tangible Benefits</vt:lpstr>
      <vt:lpstr>Company Inventory</vt:lpstr>
      <vt:lpstr>Input Details</vt:lpstr>
      <vt:lpstr>'Company Inventory'!Print_Area</vt:lpstr>
      <vt:lpstr>'Cost Explanation'!Print_Area</vt:lpstr>
      <vt:lpstr>'Input Details'!Print_Area</vt:lpstr>
      <vt:lpstr>'One Time Cost'!Print_Area</vt:lpstr>
      <vt:lpstr>'Tangible Benefits'!Print_Area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SiteTrace Cost-Benefit Worksheets — Realistic Planning Estimates</dc:title>
  <dc:creator>SiteTrace Academic Documentation</dc:creator>
  <dc:description>User-authorized illustrative planning estimates. Company quantities only from the green inventory image; no system demo data used.</dc:description>
  <cp:lastModifiedBy>SiteTrace Academic Documentation</cp:lastModifiedBy>
  <dcterms:created xsi:type="dcterms:W3CDTF">2026-10-24T10:12:24Z</dcterms:created>
  <dcterms:modified xsi:type="dcterms:W3CDTF">2026-10-24T10:12:24Z</dcterms:modified>
</cp:coreProperties>
</file>